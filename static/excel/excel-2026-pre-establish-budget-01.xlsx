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·개발 (웹)\문막초 교직원 전용 MM (eduwork)\image-pre-establish-budget 병합.jpeg\"/>
    </mc:Choice>
  </mc:AlternateContent>
  <xr:revisionPtr revIDLastSave="0" documentId="13_ncr:1_{4651CA40-C5A7-444E-A704-5A07E630EE59}" xr6:coauthVersionLast="47" xr6:coauthVersionMax="47" xr10:uidLastSave="{00000000-0000-0000-0000-000000000000}"/>
  <bookViews>
    <workbookView xWindow="1410" yWindow="0" windowWidth="27135" windowHeight="15585" xr2:uid="{1E61F171-3067-488F-9E4F-7CCD389261D2}"/>
  </bookViews>
  <sheets>
    <sheet name="성립전예산 세출 요구서" sheetId="6" r:id="rId1"/>
    <sheet name="성립전예산 세입 요구서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9" l="1"/>
  <c r="I11" i="9" s="1"/>
  <c r="F11" i="6"/>
  <c r="K11" i="6" s="1"/>
  <c r="F9" i="6"/>
  <c r="K9" i="6" s="1"/>
  <c r="H11" i="6" l="1"/>
  <c r="H9" i="6"/>
  <c r="F10" i="6"/>
  <c r="K10" i="6" s="1"/>
  <c r="K12" i="6" s="1"/>
  <c r="H10" i="6" l="1"/>
  <c r="H12" i="6" s="1"/>
  <c r="F12" i="6"/>
</calcChain>
</file>

<file path=xl/sharedStrings.xml><?xml version="1.0" encoding="utf-8"?>
<sst xmlns="http://schemas.openxmlformats.org/spreadsheetml/2006/main" count="53" uniqueCount="42">
  <si>
    <t>연번</t>
    <phoneticPr fontId="1" type="noConversion"/>
  </si>
  <si>
    <t>세부사업</t>
    <phoneticPr fontId="1" type="noConversion"/>
  </si>
  <si>
    <t>세부항목</t>
    <phoneticPr fontId="1" type="noConversion"/>
  </si>
  <si>
    <t>원가통계비목</t>
    <phoneticPr fontId="1" type="noConversion"/>
  </si>
  <si>
    <t>기정예산액</t>
    <phoneticPr fontId="1" type="noConversion"/>
  </si>
  <si>
    <t>비교증감</t>
    <phoneticPr fontId="1" type="noConversion"/>
  </si>
  <si>
    <t>산출기초</t>
    <phoneticPr fontId="1" type="noConversion"/>
  </si>
  <si>
    <t>산출내역</t>
    <phoneticPr fontId="1" type="noConversion"/>
  </si>
  <si>
    <t>산출식</t>
    <phoneticPr fontId="1" type="noConversion"/>
  </si>
  <si>
    <t>성립전예산액</t>
    <phoneticPr fontId="1" type="noConversion"/>
  </si>
  <si>
    <t>금액(천원)</t>
    <phoneticPr fontId="1" type="noConversion"/>
  </si>
  <si>
    <t>교기운영</t>
    <phoneticPr fontId="1" type="noConversion"/>
  </si>
  <si>
    <t>계</t>
    <phoneticPr fontId="1" type="noConversion"/>
  </si>
  <si>
    <t>기간제근로자법정부담금</t>
    <phoneticPr fontId="1" type="noConversion"/>
  </si>
  <si>
    <t>기간제근로자인건비</t>
    <phoneticPr fontId="1" type="noConversion"/>
  </si>
  <si>
    <t>200,000원*5명*12회</t>
    <phoneticPr fontId="1" type="noConversion"/>
  </si>
  <si>
    <t>[수익]학교운동부지도자인건비</t>
  </si>
  <si>
    <t>[수익]운동부지도자사회보험료개인부담금</t>
  </si>
  <si>
    <t>[수익]운동부지도자사회보험료기관부담금</t>
  </si>
  <si>
    <t>16,010원*5명*12회</t>
    <phoneticPr fontId="1" type="noConversion"/>
  </si>
  <si>
    <t>19,000원*5명*12회</t>
    <phoneticPr fontId="4" type="noConversion"/>
  </si>
  <si>
    <t>164,990원*5명*12회</t>
    <phoneticPr fontId="4" type="noConversion"/>
  </si>
  <si>
    <t xml:space="preserve">확인자     </t>
    <phoneticPr fontId="6" type="noConversion"/>
  </si>
  <si>
    <t xml:space="preserve">작성자     </t>
    <phoneticPr fontId="6" type="noConversion"/>
  </si>
  <si>
    <t>세부사업</t>
    <phoneticPr fontId="6" type="noConversion"/>
  </si>
  <si>
    <t>세부항목</t>
    <phoneticPr fontId="6" type="noConversion"/>
  </si>
  <si>
    <t>산출내역</t>
    <phoneticPr fontId="6" type="noConversion"/>
  </si>
  <si>
    <t>예산요구액</t>
    <phoneticPr fontId="6" type="noConversion"/>
  </si>
  <si>
    <t>비고</t>
    <phoneticPr fontId="6" type="noConversion"/>
  </si>
  <si>
    <t>[수익]학교운동부지도자인건비</t>
    <phoneticPr fontId="4" type="noConversion"/>
  </si>
  <si>
    <t>교기운영</t>
    <phoneticPr fontId="4" type="noConversion"/>
  </si>
  <si>
    <t>[수익]학부모부담후원금실수령액</t>
    <phoneticPr fontId="4" type="noConversion"/>
  </si>
  <si>
    <t>2026학년도 성립전예산 요구서(학교운동부(테니스부) 학부모부담후원금(세출))</t>
    <phoneticPr fontId="1" type="noConversion"/>
  </si>
  <si>
    <t>2026학년도 성립전예산 요구서(학교운동부(테니스부) 학부모부담후원금(세입))</t>
    <phoneticPr fontId="1" type="noConversion"/>
  </si>
  <si>
    <t>200,000원*5명*12회</t>
    <phoneticPr fontId="4" type="noConversion"/>
  </si>
  <si>
    <t>[수익]테니스부학부모부담후원금</t>
    <phoneticPr fontId="4" type="noConversion"/>
  </si>
  <si>
    <t>산출식 (단가×물량×회수)</t>
    <phoneticPr fontId="6" type="noConversion"/>
  </si>
  <si>
    <t>(인)</t>
    <phoneticPr fontId="7" type="noConversion"/>
  </si>
  <si>
    <t xml:space="preserve">부서명: </t>
    <phoneticPr fontId="4" type="noConversion"/>
  </si>
  <si>
    <t>단위: (원)</t>
    <phoneticPr fontId="4" type="noConversion"/>
  </si>
  <si>
    <t>계</t>
    <phoneticPr fontId="6" type="noConversion"/>
  </si>
  <si>
    <t>연번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</si>
</sst>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22"/>
      <color theme="1"/>
      <name val="HY헤드라인M"/>
      <family val="1"/>
      <charset val="129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indexed="64"/>
      <name val="맑은 고딕"/>
      <family val="3"/>
      <charset val="129"/>
      <scheme val="minor"/>
    </font>
    <font>
      <sz val="11"/>
      <color indexed="64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0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41" fontId="2" fillId="0" borderId="1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8" fillId="0" borderId="0" xfId="2" applyFont="1" applyAlignment="1">
      <alignment horizontal="center" vertical="center" justifyLastLine="1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2" fillId="0" borderId="5" xfId="0" applyFont="1" applyBorder="1" applyAlignment="1">
      <alignment horizontal="center" vertical="center" shrinkToFit="1"/>
    </xf>
    <xf numFmtId="41" fontId="2" fillId="0" borderId="6" xfId="0" applyNumberFormat="1" applyFont="1" applyBorder="1" applyAlignment="1">
      <alignment horizontal="center" vertical="center" shrinkToFit="1"/>
    </xf>
    <xf numFmtId="0" fontId="9" fillId="3" borderId="8" xfId="0" applyFont="1" applyFill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left" vertical="center" shrinkToFit="1"/>
    </xf>
    <xf numFmtId="41" fontId="2" fillId="0" borderId="11" xfId="0" applyNumberFormat="1" applyFont="1" applyBorder="1" applyAlignment="1">
      <alignment horizontal="center" vertical="center" shrinkToFit="1"/>
    </xf>
    <xf numFmtId="41" fontId="2" fillId="0" borderId="12" xfId="0" applyNumberFormat="1" applyFont="1" applyBorder="1" applyAlignment="1">
      <alignment horizontal="center" vertical="center" shrinkToFit="1"/>
    </xf>
    <xf numFmtId="0" fontId="9" fillId="3" borderId="9" xfId="0" applyFont="1" applyFill="1" applyBorder="1" applyAlignment="1">
      <alignment horizontal="center" vertical="center" shrinkToFit="1"/>
    </xf>
    <xf numFmtId="0" fontId="8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41" fontId="8" fillId="0" borderId="6" xfId="3" applyFont="1" applyBorder="1" applyAlignment="1">
      <alignment horizontal="center" vertical="center"/>
    </xf>
    <xf numFmtId="41" fontId="10" fillId="3" borderId="8" xfId="3" applyFont="1" applyFill="1" applyBorder="1" applyAlignment="1">
      <alignment horizontal="center" vertical="center"/>
    </xf>
    <xf numFmtId="41" fontId="10" fillId="3" borderId="9" xfId="3" applyFont="1" applyFill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1" fontId="8" fillId="0" borderId="11" xfId="1" applyFont="1" applyBorder="1" applyAlignment="1">
      <alignment horizontal="center" vertical="center"/>
    </xf>
    <xf numFmtId="41" fontId="8" fillId="0" borderId="12" xfId="3" applyFont="1" applyBorder="1" applyAlignment="1">
      <alignment horizontal="center" vertical="center"/>
    </xf>
    <xf numFmtId="0" fontId="10" fillId="3" borderId="15" xfId="2" applyFont="1" applyFill="1" applyBorder="1" applyAlignment="1">
      <alignment horizontal="center" vertical="center"/>
    </xf>
    <xf numFmtId="0" fontId="10" fillId="3" borderId="16" xfId="2" applyFont="1" applyFill="1" applyBorder="1" applyAlignment="1">
      <alignment horizontal="center" vertical="center"/>
    </xf>
    <xf numFmtId="41" fontId="10" fillId="3" borderId="16" xfId="3" applyFont="1" applyFill="1" applyBorder="1" applyAlignment="1">
      <alignment horizontal="center" vertical="center"/>
    </xf>
    <xf numFmtId="41" fontId="10" fillId="3" borderId="17" xfId="3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left" vertical="center" shrinkToFit="1"/>
    </xf>
    <xf numFmtId="41" fontId="2" fillId="0" borderId="13" xfId="0" applyNumberFormat="1" applyFont="1" applyBorder="1" applyAlignment="1">
      <alignment horizontal="center" vertical="center" shrinkToFit="1"/>
    </xf>
    <xf numFmtId="41" fontId="2" fillId="0" borderId="14" xfId="0" applyNumberFormat="1" applyFont="1" applyBorder="1" applyAlignment="1">
      <alignment horizontal="center" vertical="center" shrinkToFit="1"/>
    </xf>
    <xf numFmtId="41" fontId="9" fillId="2" borderId="16" xfId="0" applyNumberFormat="1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vertical="center" shrinkToFit="1"/>
    </xf>
    <xf numFmtId="41" fontId="9" fillId="2" borderId="17" xfId="0" applyNumberFormat="1" applyFont="1" applyFill="1" applyBorder="1" applyAlignment="1">
      <alignment horizontal="center" vertical="center" shrinkToFit="1"/>
    </xf>
    <xf numFmtId="0" fontId="9" fillId="2" borderId="19" xfId="0" applyFont="1" applyFill="1" applyBorder="1" applyAlignment="1">
      <alignment horizontal="center" vertical="center" shrinkToFit="1"/>
    </xf>
    <xf numFmtId="0" fontId="9" fillId="2" borderId="20" xfId="0" applyFont="1" applyFill="1" applyBorder="1" applyAlignment="1">
      <alignment horizontal="center" vertical="center" shrinkToFit="1"/>
    </xf>
    <xf numFmtId="0" fontId="9" fillId="2" borderId="21" xfId="0" applyFont="1" applyFill="1" applyBorder="1" applyAlignment="1">
      <alignment horizontal="center" vertical="center" shrinkToFit="1"/>
    </xf>
    <xf numFmtId="0" fontId="10" fillId="3" borderId="7" xfId="2" applyFont="1" applyFill="1" applyBorder="1" applyAlignment="1">
      <alignment horizontal="center" vertical="center"/>
    </xf>
    <xf numFmtId="0" fontId="10" fillId="3" borderId="8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10" fillId="3" borderId="16" xfId="2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shrinkToFit="1"/>
    </xf>
    <xf numFmtId="0" fontId="9" fillId="3" borderId="7" xfId="0" applyFont="1" applyFill="1" applyBorder="1" applyAlignment="1">
      <alignment horizontal="center" vertical="center" shrinkToFit="1"/>
    </xf>
    <xf numFmtId="0" fontId="9" fillId="3" borderId="3" xfId="0" applyFont="1" applyFill="1" applyBorder="1" applyAlignment="1">
      <alignment horizontal="center" vertical="center" shrinkToFit="1"/>
    </xf>
    <xf numFmtId="0" fontId="9" fillId="3" borderId="8" xfId="0" applyFont="1" applyFill="1" applyBorder="1" applyAlignment="1">
      <alignment horizontal="center" vertical="center" shrinkToFit="1"/>
    </xf>
    <xf numFmtId="0" fontId="9" fillId="3" borderId="4" xfId="0" applyFont="1" applyFill="1" applyBorder="1" applyAlignment="1">
      <alignment horizontal="center" vertical="center" shrinkToFit="1"/>
    </xf>
  </cellXfs>
  <cellStyles count="4">
    <cellStyle name="쉼표 [0]" xfId="1" builtinId="6"/>
    <cellStyle name="쉼표 [0] 2" xfId="3" xr:uid="{6AEF153F-28DF-4F53-857F-EC6627E0145E}"/>
    <cellStyle name="표준" xfId="0" builtinId="0"/>
    <cellStyle name="표준 2" xfId="2" xr:uid="{749FAF71-4ACB-4ADB-A2C4-E440BA496F42}"/>
  </cellStyles>
  <dxfs count="0"/>
  <tableStyles count="0" defaultTableStyle="TableStyleMedium9" defaultPivotStyle="PivotStyleLight16"/>
  <colors>
    <mruColors>
      <color rgb="FFEAEAEA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8111-3C25-4E1E-A13B-9E1A86FE6581}">
  <sheetPr>
    <pageSetUpPr fitToPage="1"/>
  </sheetPr>
  <dimension ref="B1:K15"/>
  <sheetViews>
    <sheetView tabSelected="1" workbookViewId="0">
      <selection activeCell="D16" sqref="D16"/>
    </sheetView>
  </sheetViews>
  <sheetFormatPr defaultColWidth="15.625" defaultRowHeight="24.95" customHeight="1"/>
  <cols>
    <col min="1" max="1" width="2.625" style="4" customWidth="1"/>
    <col min="2" max="2" width="8.125" style="4" customWidth="1"/>
    <col min="3" max="3" width="9.25" style="4" bestFit="1" customWidth="1"/>
    <col min="4" max="4" width="29" style="4" bestFit="1" customWidth="1"/>
    <col min="5" max="5" width="31.125" style="4" bestFit="1" customWidth="1"/>
    <col min="6" max="6" width="13.625" style="4" bestFit="1" customWidth="1"/>
    <col min="7" max="7" width="11.25" style="4" bestFit="1" customWidth="1"/>
    <col min="8" max="8" width="13.625" style="4" bestFit="1" customWidth="1"/>
    <col min="9" max="9" width="39.375" style="4" bestFit="1" customWidth="1"/>
    <col min="10" max="10" width="20.75" style="4" bestFit="1" customWidth="1"/>
    <col min="11" max="11" width="13.625" style="4" bestFit="1" customWidth="1"/>
    <col min="12" max="12" width="2.625" style="4" customWidth="1"/>
    <col min="13" max="16384" width="15.625" style="4"/>
  </cols>
  <sheetData>
    <row r="1" spans="2:11" ht="16.5"/>
    <row r="2" spans="2:11" ht="27">
      <c r="B2" s="52" t="s">
        <v>32</v>
      </c>
      <c r="C2" s="52"/>
      <c r="D2" s="52"/>
      <c r="E2" s="52"/>
      <c r="F2" s="52"/>
      <c r="G2" s="52"/>
      <c r="H2" s="52"/>
      <c r="I2" s="52"/>
      <c r="J2" s="52"/>
      <c r="K2" s="52"/>
    </row>
    <row r="3" spans="2:11" ht="16.5">
      <c r="B3" s="2"/>
      <c r="C3" s="2"/>
      <c r="D3" s="2"/>
      <c r="E3" s="2"/>
      <c r="F3" s="2"/>
      <c r="G3" s="10"/>
      <c r="H3" s="2"/>
    </row>
    <row r="4" spans="2:11" ht="16.5">
      <c r="B4" s="1"/>
      <c r="C4" s="1"/>
      <c r="D4" s="2"/>
      <c r="E4" s="2"/>
      <c r="F4" s="11"/>
      <c r="J4" s="3" t="s">
        <v>22</v>
      </c>
      <c r="K4" s="12" t="s">
        <v>37</v>
      </c>
    </row>
    <row r="5" spans="2:11" ht="16.5">
      <c r="B5" s="1"/>
      <c r="C5" s="1"/>
      <c r="D5" s="2"/>
      <c r="E5" s="2"/>
      <c r="F5" s="11"/>
      <c r="J5" s="3" t="s">
        <v>23</v>
      </c>
      <c r="K5" s="12" t="s">
        <v>37</v>
      </c>
    </row>
    <row r="6" spans="2:11" ht="17.25" thickBot="1">
      <c r="B6" s="7" t="s">
        <v>38</v>
      </c>
      <c r="J6" s="3"/>
      <c r="K6" s="13" t="s">
        <v>39</v>
      </c>
    </row>
    <row r="7" spans="2:11" ht="16.5">
      <c r="B7" s="58" t="s">
        <v>0</v>
      </c>
      <c r="C7" s="60" t="s">
        <v>1</v>
      </c>
      <c r="D7" s="60" t="s">
        <v>2</v>
      </c>
      <c r="E7" s="60" t="s">
        <v>3</v>
      </c>
      <c r="F7" s="60" t="s">
        <v>9</v>
      </c>
      <c r="G7" s="60" t="s">
        <v>4</v>
      </c>
      <c r="H7" s="60" t="s">
        <v>5</v>
      </c>
      <c r="I7" s="60" t="s">
        <v>6</v>
      </c>
      <c r="J7" s="60"/>
      <c r="K7" s="62"/>
    </row>
    <row r="8" spans="2:11" ht="17.25" thickBot="1">
      <c r="B8" s="59"/>
      <c r="C8" s="61"/>
      <c r="D8" s="61"/>
      <c r="E8" s="61"/>
      <c r="F8" s="61"/>
      <c r="G8" s="61"/>
      <c r="H8" s="61"/>
      <c r="I8" s="16" t="s">
        <v>7</v>
      </c>
      <c r="J8" s="16" t="s">
        <v>8</v>
      </c>
      <c r="K8" s="22" t="s">
        <v>10</v>
      </c>
    </row>
    <row r="9" spans="2:11" ht="16.5">
      <c r="B9" s="17">
        <v>1</v>
      </c>
      <c r="C9" s="18" t="s">
        <v>11</v>
      </c>
      <c r="D9" s="18" t="s">
        <v>29</v>
      </c>
      <c r="E9" s="19" t="s">
        <v>13</v>
      </c>
      <c r="F9" s="20">
        <f>ROUNDUP((7830+5930+770+1480)*5*12,-3)</f>
        <v>961000</v>
      </c>
      <c r="G9" s="20">
        <v>0</v>
      </c>
      <c r="H9" s="20">
        <f>F9</f>
        <v>961000</v>
      </c>
      <c r="I9" s="19" t="s">
        <v>17</v>
      </c>
      <c r="J9" s="18" t="s">
        <v>19</v>
      </c>
      <c r="K9" s="21">
        <f>F9</f>
        <v>961000</v>
      </c>
    </row>
    <row r="10" spans="2:11" ht="16.5">
      <c r="B10" s="14">
        <v>2</v>
      </c>
      <c r="C10" s="5" t="s">
        <v>11</v>
      </c>
      <c r="D10" s="5" t="s">
        <v>16</v>
      </c>
      <c r="E10" s="6" t="s">
        <v>13</v>
      </c>
      <c r="F10" s="8">
        <f>(7830+5930+770+2880+1590)*5*12</f>
        <v>1140000</v>
      </c>
      <c r="G10" s="8">
        <v>0</v>
      </c>
      <c r="H10" s="8">
        <f t="shared" ref="H10:H11" si="0">F10</f>
        <v>1140000</v>
      </c>
      <c r="I10" s="6" t="s">
        <v>18</v>
      </c>
      <c r="J10" s="5" t="s">
        <v>20</v>
      </c>
      <c r="K10" s="15">
        <f t="shared" ref="K10:K11" si="1">F10</f>
        <v>1140000</v>
      </c>
    </row>
    <row r="11" spans="2:11" ht="17.25" thickBot="1">
      <c r="B11" s="39">
        <v>3</v>
      </c>
      <c r="C11" s="40" t="s">
        <v>11</v>
      </c>
      <c r="D11" s="40" t="s">
        <v>16</v>
      </c>
      <c r="E11" s="41" t="s">
        <v>14</v>
      </c>
      <c r="F11" s="42">
        <f>ROUNDDOWN((200000-(16010+19000))*5*12,-3)</f>
        <v>9899000</v>
      </c>
      <c r="G11" s="42">
        <v>0</v>
      </c>
      <c r="H11" s="42">
        <f t="shared" si="0"/>
        <v>9899000</v>
      </c>
      <c r="I11" s="41" t="s">
        <v>31</v>
      </c>
      <c r="J11" s="40" t="s">
        <v>21</v>
      </c>
      <c r="K11" s="43">
        <f t="shared" si="1"/>
        <v>9899000</v>
      </c>
    </row>
    <row r="12" spans="2:11" s="9" customFormat="1" ht="17.25" thickBot="1">
      <c r="B12" s="47" t="s">
        <v>12</v>
      </c>
      <c r="C12" s="48"/>
      <c r="D12" s="48"/>
      <c r="E12" s="49"/>
      <c r="F12" s="44">
        <f>SUM(F9:F11)</f>
        <v>12000000</v>
      </c>
      <c r="G12" s="45"/>
      <c r="H12" s="44">
        <f>SUM(H9:H11)</f>
        <v>12000000</v>
      </c>
      <c r="I12" s="45"/>
      <c r="J12" s="45" t="s">
        <v>15</v>
      </c>
      <c r="K12" s="46">
        <f>SUM(K9:K11)</f>
        <v>12000000</v>
      </c>
    </row>
    <row r="13" spans="2:11" ht="16.5"/>
    <row r="14" spans="2:11" ht="16.5"/>
    <row r="15" spans="2:11" ht="16.5"/>
  </sheetData>
  <mergeCells count="10">
    <mergeCell ref="B2:K2"/>
    <mergeCell ref="B7:B8"/>
    <mergeCell ref="C7:C8"/>
    <mergeCell ref="D7:D8"/>
    <mergeCell ref="E7:E8"/>
    <mergeCell ref="F7:F8"/>
    <mergeCell ref="G7:G8"/>
    <mergeCell ref="H7:H8"/>
    <mergeCell ref="I7:K7"/>
    <mergeCell ref="B12:E12"/>
  </mergeCells>
  <phoneticPr fontId="4" type="noConversion"/>
  <printOptions horizontalCentered="1"/>
  <pageMargins left="0.19685039370078741" right="0.19685039370078741" top="1.1417322834645669" bottom="0.98425196850393704" header="0" footer="0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107E-2E7A-4395-89F2-9F8E4B309BDD}">
  <sheetPr>
    <pageSetUpPr fitToPage="1"/>
  </sheetPr>
  <dimension ref="B1:J12"/>
  <sheetViews>
    <sheetView workbookViewId="0">
      <pane ySplit="3" topLeftCell="A4" activePane="bottomLeft" state="frozen"/>
      <selection pane="bottomLeft" activeCell="H13" sqref="H13"/>
    </sheetView>
  </sheetViews>
  <sheetFormatPr defaultColWidth="15.625" defaultRowHeight="24.95" customHeight="1"/>
  <cols>
    <col min="1" max="1" width="2.625" style="4" customWidth="1"/>
    <col min="2" max="2" width="9.25" style="4" bestFit="1" customWidth="1"/>
    <col min="3" max="3" width="29" style="4" bestFit="1" customWidth="1"/>
    <col min="4" max="4" width="31.125" style="4" bestFit="1" customWidth="1"/>
    <col min="5" max="5" width="13.625" style="4" bestFit="1" customWidth="1"/>
    <col min="6" max="6" width="11.25" style="4" bestFit="1" customWidth="1"/>
    <col min="7" max="7" width="13.625" style="4" bestFit="1" customWidth="1"/>
    <col min="8" max="8" width="39.375" style="4" bestFit="1" customWidth="1"/>
    <col min="9" max="9" width="20.75" style="4" bestFit="1" customWidth="1"/>
    <col min="10" max="10" width="9.375" style="4" bestFit="1" customWidth="1"/>
    <col min="11" max="11" width="2.625" style="4" customWidth="1"/>
    <col min="12" max="12" width="19.5" style="4" customWidth="1"/>
    <col min="13" max="16384" width="15.625" style="4"/>
  </cols>
  <sheetData>
    <row r="1" spans="2:10" ht="16.5"/>
    <row r="2" spans="2:10" ht="16.5"/>
    <row r="3" spans="2:10" ht="27">
      <c r="B3" s="52" t="s">
        <v>33</v>
      </c>
      <c r="C3" s="52"/>
      <c r="D3" s="52"/>
      <c r="E3" s="52"/>
      <c r="F3" s="52"/>
      <c r="G3" s="52"/>
      <c r="H3" s="52"/>
      <c r="I3" s="52"/>
      <c r="J3" s="52"/>
    </row>
    <row r="4" spans="2:10" ht="16.5">
      <c r="B4" s="2"/>
      <c r="C4" s="2"/>
      <c r="D4" s="2"/>
      <c r="E4" s="2"/>
      <c r="F4" s="10"/>
      <c r="G4" s="2"/>
    </row>
    <row r="5" spans="2:10" ht="16.5">
      <c r="B5" s="1"/>
      <c r="C5" s="2"/>
      <c r="D5" s="2"/>
      <c r="E5" s="11"/>
      <c r="I5" s="3" t="s">
        <v>22</v>
      </c>
      <c r="J5" s="12" t="s">
        <v>37</v>
      </c>
    </row>
    <row r="6" spans="2:10" ht="16.5">
      <c r="B6" s="1"/>
      <c r="C6" s="2"/>
      <c r="D6" s="2"/>
      <c r="E6" s="11"/>
      <c r="I6" s="3" t="s">
        <v>23</v>
      </c>
      <c r="J6" s="12" t="s">
        <v>37</v>
      </c>
    </row>
    <row r="7" spans="2:10" ht="17.25" thickBot="1">
      <c r="B7" s="1"/>
      <c r="C7" s="2"/>
      <c r="D7" s="2"/>
      <c r="E7" s="2"/>
      <c r="F7" s="2"/>
      <c r="G7" s="2"/>
      <c r="J7" s="13" t="s">
        <v>39</v>
      </c>
    </row>
    <row r="8" spans="2:10" ht="17.25" thickBot="1">
      <c r="B8" s="35" t="s">
        <v>41</v>
      </c>
      <c r="C8" s="36" t="s">
        <v>24</v>
      </c>
      <c r="D8" s="36" t="s">
        <v>25</v>
      </c>
      <c r="E8" s="53" t="s">
        <v>26</v>
      </c>
      <c r="F8" s="53"/>
      <c r="G8" s="53"/>
      <c r="H8" s="36" t="s">
        <v>36</v>
      </c>
      <c r="I8" s="37" t="s">
        <v>27</v>
      </c>
      <c r="J8" s="38" t="s">
        <v>28</v>
      </c>
    </row>
    <row r="9" spans="2:10" ht="16.5">
      <c r="B9" s="30">
        <v>1</v>
      </c>
      <c r="C9" s="31" t="s">
        <v>30</v>
      </c>
      <c r="D9" s="32" t="s">
        <v>29</v>
      </c>
      <c r="E9" s="54" t="s">
        <v>35</v>
      </c>
      <c r="F9" s="54"/>
      <c r="G9" s="54"/>
      <c r="H9" s="32" t="s">
        <v>34</v>
      </c>
      <c r="I9" s="33">
        <f>200000*5*12</f>
        <v>12000000</v>
      </c>
      <c r="J9" s="34"/>
    </row>
    <row r="10" spans="2:10" ht="16.5">
      <c r="B10" s="26"/>
      <c r="C10" s="23"/>
      <c r="D10" s="24"/>
      <c r="E10" s="55"/>
      <c r="F10" s="56"/>
      <c r="G10" s="57"/>
      <c r="H10" s="24"/>
      <c r="I10" s="25"/>
      <c r="J10" s="27"/>
    </row>
    <row r="11" spans="2:10" ht="17.25" thickBot="1">
      <c r="B11" s="50" t="s">
        <v>40</v>
      </c>
      <c r="C11" s="51"/>
      <c r="D11" s="51"/>
      <c r="E11" s="51"/>
      <c r="F11" s="51"/>
      <c r="G11" s="51"/>
      <c r="H11" s="51"/>
      <c r="I11" s="28">
        <f>SUM(I9:I9)</f>
        <v>12000000</v>
      </c>
      <c r="J11" s="29"/>
    </row>
    <row r="12" spans="2:10" ht="16.5"/>
  </sheetData>
  <mergeCells count="5">
    <mergeCell ref="E8:G8"/>
    <mergeCell ref="E9:G9"/>
    <mergeCell ref="E10:G10"/>
    <mergeCell ref="B11:H11"/>
    <mergeCell ref="B3:J3"/>
  </mergeCells>
  <phoneticPr fontId="4" type="noConversion"/>
  <printOptions horizontalCentered="1"/>
  <pageMargins left="0.19685039370078741" right="0.19685039370078741" top="1.1417322834645669" bottom="0.98425196850393704" header="0" footer="0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성립전예산 세출 요구서</vt:lpstr>
      <vt:lpstr>성립전예산 세입 요구서</vt:lpstr>
    </vt:vector>
  </TitlesOfParts>
  <Company>Your 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해영 고</cp:lastModifiedBy>
  <cp:lastPrinted>2026-03-06T01:18:57Z</cp:lastPrinted>
  <dcterms:created xsi:type="dcterms:W3CDTF">2013-03-11T00:06:45Z</dcterms:created>
  <dcterms:modified xsi:type="dcterms:W3CDTF">2026-03-08T21:09:59Z</dcterms:modified>
</cp:coreProperties>
</file>
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6\7. 맞춤형복지\시행\"/>
    </mc:Choice>
  </mc:AlternateContent>
  <xr:revisionPtr revIDLastSave="0" documentId="13_ncr:1_{7A730106-B5DB-4A43-BE85-7C8397632454}" xr6:coauthVersionLast="47" xr6:coauthVersionMax="47" xr10:uidLastSave="{00000000-0000-0000-0000-000000000000}"/>
  <bookViews>
    <workbookView xWindow="28680" yWindow="-120" windowWidth="29040" windowHeight="15720" tabRatio="777" firstSheet="1" activeTab="1" xr2:uid="{00000000-000D-0000-FFFF-FFFF00000000}"/>
  </bookViews>
  <sheets>
    <sheet name="데이터" sheetId="54" state="hidden" r:id="rId1"/>
    <sheet name="서식1(맞춤형복지점수신청서)" sheetId="49" r:id="rId2"/>
    <sheet name="서식2(난임지원복지점수신청서)" sheetId="53" r:id="rId3"/>
    <sheet name="서식3(건강검진비 신청서)" sheetId="60" r:id="rId4"/>
    <sheet name="서식4(정산반납)" sheetId="57" r:id="rId5"/>
    <sheet name="서식5(복지점수통지)" sheetId="58" r:id="rId6"/>
    <sheet name="서식6(출산축하복지점수)" sheetId="44" r:id="rId7"/>
    <sheet name="서식7(난임지원, 태아산모검진)" sheetId="59" r:id="rId8"/>
  </sheets>
  <definedNames>
    <definedName name="_xlnm.Print_Area" localSheetId="1">'서식1(맞춤형복지점수신청서)'!$A$1:$H$19</definedName>
    <definedName name="_xlnm.Print_Area" localSheetId="2">'서식2(난임지원복지점수신청서)'!$A$1:$F$15</definedName>
    <definedName name="_xlnm.Print_Area" localSheetId="3">'서식3(건강검진비 신청서)'!$A$1:$F$15</definedName>
    <definedName name="_xlnm.Print_Area" localSheetId="4">'서식4(정산반납)'!$A$1:$M$21</definedName>
    <definedName name="_xlnm.Print_Area" localSheetId="5">'서식5(복지점수통지)'!$A$1:$M$16</definedName>
    <definedName name="_xlnm.Print_Area" localSheetId="6">'서식6(출산축하복지점수)'!$A$1:$K$14</definedName>
    <definedName name="_xlnm.Print_Area" localSheetId="7">'서식7(난임지원, 태아산모검진)'!$A$1:$I$13</definedName>
    <definedName name="_xlnm.Print_Titles" localSheetId="4">'서식4(정산반납)'!#REF!</definedName>
    <definedName name="_xlnm.Print_Titles" localSheetId="5">'서식5(복지점수통지)'!#REF!</definedName>
    <definedName name="_xlnm.Print_Titles" localSheetId="6">'서식6(출산축하복지점수)'!#REF!</definedName>
    <definedName name="_xlnm.Print_Titles" localSheetId="7">'서식7(난임지원, 태아산모검진)'!#REF!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58" l="1"/>
  <c r="I6" i="58" s="1"/>
  <c r="H8" i="57"/>
  <c r="G8" i="57"/>
  <c r="J7" i="57"/>
  <c r="K7" i="57" s="1"/>
  <c r="I6" i="57"/>
  <c r="J6" i="57" s="1"/>
  <c r="K6" i="57" s="1"/>
  <c r="K8" i="57" l="1"/>
  <c r="I8" i="57"/>
  <c r="J8" i="5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5" authorId="0" shapeId="0" xr:uid="{00000000-0006-0000-0400-000001000000}">
      <text>
        <r>
          <rPr>
            <b/>
            <sz val="10"/>
            <color indexed="81"/>
            <rFont val="돋움"/>
            <family val="3"/>
            <charset val="129"/>
          </rPr>
          <t>전통시장포인트차감액까지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합산</t>
        </r>
      </text>
    </comment>
    <comment ref="J5" authorId="0" shapeId="0" xr:uid="{00000000-0006-0000-0400-000002000000}">
      <text>
        <r>
          <rPr>
            <b/>
            <sz val="10"/>
            <color indexed="81"/>
            <rFont val="돋움"/>
            <family val="3"/>
            <charset val="129"/>
          </rPr>
          <t>관리자 사이트 잔여복지점수 일치여부 반드시 확인</t>
        </r>
      </text>
    </comment>
  </commentList>
</comments>
</file>

<file path=xl/sharedStrings.xml><?xml version="1.0" encoding="utf-8"?>
<sst xmlns="http://schemas.openxmlformats.org/spreadsheetml/2006/main" count="205" uniqueCount="145">
  <si>
    <t>교사</t>
    <phoneticPr fontId="4" type="noConversion"/>
  </si>
  <si>
    <t>연번</t>
    <phoneticPr fontId="4" type="noConversion"/>
  </si>
  <si>
    <t>주민등록번호</t>
    <phoneticPr fontId="4" type="noConversion"/>
  </si>
  <si>
    <t>&lt;작성 방법&gt;</t>
    <phoneticPr fontId="4" type="noConversion"/>
  </si>
  <si>
    <t>기관명</t>
    <phoneticPr fontId="4" type="noConversion"/>
  </si>
  <si>
    <t>직급
(직위)</t>
    <phoneticPr fontId="4" type="noConversion"/>
  </si>
  <si>
    <t>성명</t>
    <phoneticPr fontId="4" type="noConversion"/>
  </si>
  <si>
    <t xml:space="preserve">   -  셀서식 변경금지</t>
    <phoneticPr fontId="4" type="noConversion"/>
  </si>
  <si>
    <t>[서식 2]</t>
    <phoneticPr fontId="4" type="noConversion"/>
  </si>
  <si>
    <t>행정9급</t>
    <phoneticPr fontId="4" type="noConversion"/>
  </si>
  <si>
    <t>&lt; 작성 방법&gt;</t>
    <phoneticPr fontId="4" type="noConversion"/>
  </si>
  <si>
    <t>비  고</t>
    <phoneticPr fontId="4" type="noConversion"/>
  </si>
  <si>
    <t>정산반납자 인적사항</t>
    <phoneticPr fontId="4" type="noConversion"/>
  </si>
  <si>
    <t>정산반납자 복지점수 배정 및 사용 내역</t>
    <phoneticPr fontId="4" type="noConversion"/>
  </si>
  <si>
    <t>정산반납 
복지점수</t>
    <phoneticPr fontId="4" type="noConversion"/>
  </si>
  <si>
    <t>교직원구분</t>
    <phoneticPr fontId="4" type="noConversion"/>
  </si>
  <si>
    <t>보험료차감액
②</t>
    <phoneticPr fontId="4" type="noConversion"/>
  </si>
  <si>
    <t>사용복지점수
③</t>
    <phoneticPr fontId="4" type="noConversion"/>
  </si>
  <si>
    <t>잔여복지점수
④=①-②-③</t>
    <phoneticPr fontId="4" type="noConversion"/>
  </si>
  <si>
    <t>합        계</t>
    <phoneticPr fontId="4" type="noConversion"/>
  </si>
  <si>
    <t>연초배정액</t>
    <phoneticPr fontId="4" type="noConversion"/>
  </si>
  <si>
    <t>월할계산액
(00개월분)
(A)</t>
    <phoneticPr fontId="4" type="noConversion"/>
  </si>
  <si>
    <t>사용내역</t>
    <phoneticPr fontId="4" type="noConversion"/>
  </si>
  <si>
    <t>사용잔액
C=A-B</t>
    <phoneticPr fontId="4" type="noConversion"/>
  </si>
  <si>
    <t>비고</t>
    <phoneticPr fontId="4" type="noConversion"/>
  </si>
  <si>
    <t>합계
(B)</t>
    <phoneticPr fontId="4" type="noConversion"/>
  </si>
  <si>
    <t>자율항목</t>
    <phoneticPr fontId="4" type="noConversion"/>
  </si>
  <si>
    <t xml:space="preserve">        대상에 해당하는 임용자가 발생하였을 경우, 작성하여 타시ㆍ도(전입기관)로 통보</t>
    <phoneticPr fontId="4" type="noConversion"/>
  </si>
  <si>
    <t>[서식 7]</t>
    <phoneticPr fontId="4" type="noConversion"/>
  </si>
  <si>
    <t>행정7급</t>
    <phoneticPr fontId="4" type="noConversion"/>
  </si>
  <si>
    <t>720000-1000000</t>
    <phoneticPr fontId="4" type="noConversion"/>
  </si>
  <si>
    <t>해당 자녀 이름</t>
    <phoneticPr fontId="4" type="noConversion"/>
  </si>
  <si>
    <t>해당 자녀 출생일</t>
    <phoneticPr fontId="4" type="noConversion"/>
  </si>
  <si>
    <t>총 자녀수</t>
    <phoneticPr fontId="4" type="noConversion"/>
  </si>
  <si>
    <t xml:space="preserve">   -  부부 공무원의 경우 1인에 한하여 배정</t>
    <phoneticPr fontId="4" type="noConversion"/>
  </si>
  <si>
    <t>성 명</t>
  </si>
  <si>
    <t xml:space="preserve">  위의 사실을 확인함</t>
    <phoneticPr fontId="4" type="noConversion"/>
  </si>
  <si>
    <t>[서식 1]</t>
    <phoneticPr fontId="4" type="noConversion"/>
  </si>
  <si>
    <t>생명상해</t>
    <phoneticPr fontId="4" type="noConversion"/>
  </si>
  <si>
    <t>배정포인트</t>
    <phoneticPr fontId="4" type="noConversion"/>
  </si>
  <si>
    <t>김00</t>
    <phoneticPr fontId="4" type="noConversion"/>
  </si>
  <si>
    <t>00초등학교</t>
    <phoneticPr fontId="4" type="noConversion"/>
  </si>
  <si>
    <t>00고등학교</t>
    <phoneticPr fontId="4" type="noConversion"/>
  </si>
  <si>
    <t>박00</t>
    <phoneticPr fontId="4" type="noConversion"/>
  </si>
  <si>
    <t>최00</t>
    <phoneticPr fontId="4" type="noConversion"/>
  </si>
  <si>
    <t>00중학교</t>
    <phoneticPr fontId="4" type="noConversion"/>
  </si>
  <si>
    <t>셋째</t>
    <phoneticPr fontId="4" type="noConversion"/>
  </si>
  <si>
    <t>신청자</t>
    <phoneticPr fontId="4" type="noConversion"/>
  </si>
  <si>
    <t>생년월일</t>
    <phoneticPr fontId="4" type="noConversion"/>
  </si>
  <si>
    <t>소 속</t>
    <phoneticPr fontId="4" type="noConversion"/>
  </si>
  <si>
    <t>직 급</t>
    <phoneticPr fontId="4" type="noConversion"/>
  </si>
  <si>
    <t>배우자</t>
    <phoneticPr fontId="4" type="noConversion"/>
  </si>
  <si>
    <t>소속기관명</t>
    <phoneticPr fontId="4" type="noConversion"/>
  </si>
  <si>
    <t>신청대상
자녀</t>
    <phoneticPr fontId="4" type="noConversion"/>
  </si>
  <si>
    <t>[서식 3]</t>
    <phoneticPr fontId="4" type="noConversion"/>
  </si>
  <si>
    <t>자녀구분</t>
    <phoneticPr fontId="4" type="noConversion"/>
  </si>
  <si>
    <t>년          월          일</t>
    <phoneticPr fontId="4" type="noConversion"/>
  </si>
  <si>
    <t xml:space="preserve">   -  교육지원청은 관내 유, 초, 중 정산반납금 취합 후 일괄 반납 처리</t>
    <phoneticPr fontId="4" type="noConversion"/>
  </si>
  <si>
    <t>가족점수</t>
    <phoneticPr fontId="4" type="noConversion"/>
  </si>
  <si>
    <t>출산축하</t>
    <phoneticPr fontId="4" type="noConversion"/>
  </si>
  <si>
    <t>배정유형</t>
    <phoneticPr fontId="4" type="noConversion"/>
  </si>
  <si>
    <t>난임지원</t>
    <phoneticPr fontId="4" type="noConversion"/>
  </si>
  <si>
    <t>태아/산모검진</t>
    <phoneticPr fontId="4" type="noConversion"/>
  </si>
  <si>
    <t xml:space="preserve">   -  난임지원시 배정포인트: 500점, 태아/산모검진 시 배정포인트: 100점</t>
    <phoneticPr fontId="4" type="noConversion"/>
  </si>
  <si>
    <t xml:space="preserve">   -  신청서 및 증빙서 확인 후 배정. 배정이후 위 서식으로 보고 </t>
    <phoneticPr fontId="4" type="noConversion"/>
  </si>
  <si>
    <t xml:space="preserve">   -  자녀 출산 시 1회에 한하여 출산축하 복지점수 배정</t>
    <phoneticPr fontId="4" type="noConversion"/>
  </si>
  <si>
    <t>이00</t>
    <phoneticPr fontId="4" type="noConversion"/>
  </si>
  <si>
    <t>배우자의 복지점수 수령여부(O, X)
※ 이중지급 금지</t>
    <phoneticPr fontId="4" type="noConversion"/>
  </si>
  <si>
    <t>태아·산모
검진점수</t>
    <phoneticPr fontId="4" type="noConversion"/>
  </si>
  <si>
    <t>1. 본인은 위의 부양가족이 맞춤형 복지제도 복지점수 배정 대상자의 요건을 갖추었기에 이를 복지점수 배정에 반영해 줄 것을 신청합니다.
2. 본인은 위의 부양가족에 대해 정부예산에 의한 맞춤형 복지제도의 적용을 받는 부양의무자가 없음을 또는 부양의무자가 있으나 그 부양의무자에게 위의 부양가족을 대상으로 복지점수가 배정되지 않고 있음을 확인하며, 동 확인내용이 사실과 달라 복지점수를 이중으로 배정받은 경우 관계 규정과 지침에 의해 이를 변상하고 일정기간 맞춤형복지점수 배정을 받지 못하는 불이익이 발생하더라도 이를 감수할 것을 서약합니다.</t>
    <phoneticPr fontId="4" type="noConversion"/>
  </si>
  <si>
    <t>소속기관장                                       (인)</t>
    <phoneticPr fontId="4" type="noConversion"/>
  </si>
  <si>
    <t>첨부 : 1. 주민등록등본(필요시 가족관계증명서) 1부.
         2. 임신진단서 또는 임신확인서(태아 및 산모검진점수 신청의 경우) 1부.</t>
    <phoneticPr fontId="4" type="noConversion"/>
  </si>
  <si>
    <t>◎신청구분(체크표시):        □ 가족복지점수   □ 출산축하복지점수   □ 태아·산모검진점수</t>
    <phoneticPr fontId="4" type="noConversion"/>
  </si>
  <si>
    <r>
      <t xml:space="preserve">- 동일한 부양가족에 대하여 가족복지점수를 배정받을 수 있는 공무원이 2인 이상일 때에는 </t>
    </r>
    <r>
      <rPr>
        <b/>
        <sz val="11"/>
        <rFont val="HY강M"/>
        <family val="1"/>
        <charset val="129"/>
      </rPr>
      <t>그 중 1인의 공무원에게만
  복지점수를 부여함</t>
    </r>
    <r>
      <rPr>
        <sz val="11"/>
        <rFont val="HY강M"/>
        <family val="1"/>
        <charset val="129"/>
      </rPr>
      <t xml:space="preserve">
- 가족복지점수를 신청하고자 하는 공무원은 가족관계증명서 등과 함께 해당 신청서를 소속기관의 장에게 제출하여야 
   하며 </t>
    </r>
    <r>
      <rPr>
        <b/>
        <sz val="11"/>
        <rFont val="HY강M"/>
        <family val="1"/>
        <charset val="129"/>
      </rPr>
      <t>신청서에 배우자의 복지점수 수령여부 등을 기재하여야 함</t>
    </r>
    <r>
      <rPr>
        <b/>
        <sz val="11"/>
        <color rgb="FFFF0000"/>
        <rFont val="HY강M"/>
        <family val="1"/>
        <charset val="129"/>
      </rPr>
      <t>(이중지급 방지)</t>
    </r>
    <r>
      <rPr>
        <sz val="11"/>
        <rFont val="HY강M"/>
        <family val="1"/>
        <charset val="129"/>
      </rPr>
      <t xml:space="preserve">
- 연도중 자녀를 출산한 경우 해당 자녀에 대한 가족복지점수는 다음 연도부터 배정함
  ※ 출산축하 및 태아산모검진점수는 당해연도 배정 가능
- 단, </t>
    </r>
    <r>
      <rPr>
        <b/>
        <sz val="11"/>
        <rFont val="HY강M"/>
        <family val="1"/>
        <charset val="129"/>
      </rPr>
      <t>부양가족 사항이 연도 개시 전에 변경되었으나 복지점수 배정 시 반영되지 않은 경우 연도중에 반영할 수
  있음</t>
    </r>
    <phoneticPr fontId="4" type="noConversion"/>
  </si>
  <si>
    <t xml:space="preserve"> (예) 둘째, 쌍둥이</t>
    <phoneticPr fontId="4" type="noConversion"/>
  </si>
  <si>
    <t>첨부 : 난임진단서(본인 또는 배우자) 1부.</t>
    <phoneticPr fontId="4" type="noConversion"/>
  </si>
  <si>
    <t>배우자의 난임지원
복지점수 수령여부(O, X)
※ 이중지급 금지</t>
    <phoneticPr fontId="4" type="noConversion"/>
  </si>
  <si>
    <r>
      <t xml:space="preserve">               대리신고인 성명                   (서명 또는 인) </t>
    </r>
    <r>
      <rPr>
        <sz val="12"/>
        <color rgb="FF000000"/>
        <rFont val="HY강M"/>
        <family val="1"/>
        <charset val="129"/>
      </rPr>
      <t>※ 신고인과의 관계:</t>
    </r>
    <phoneticPr fontId="4" type="noConversion"/>
  </si>
  <si>
    <r>
      <t xml:space="preserve">  신고인 성명                   (서명 또는 인)  </t>
    </r>
    <r>
      <rPr>
        <sz val="13"/>
        <color theme="0"/>
        <rFont val="HY강M"/>
        <family val="1"/>
        <charset val="129"/>
      </rPr>
      <t>서명</t>
    </r>
    <phoneticPr fontId="4" type="noConversion"/>
  </si>
  <si>
    <r>
      <t xml:space="preserve">  신고인 성명                   (서명 또는 인)  </t>
    </r>
    <r>
      <rPr>
        <sz val="13"/>
        <color theme="0"/>
        <rFont val="HY강M"/>
        <family val="1"/>
        <charset val="129"/>
      </rPr>
      <t xml:space="preserve"> 서명</t>
    </r>
    <phoneticPr fontId="4" type="noConversion"/>
  </si>
  <si>
    <t xml:space="preserve"> ※ 모자보건법에 따른 부부 난임시술비 지원대상이 아님(O표시)</t>
    <phoneticPr fontId="4" type="noConversion"/>
  </si>
  <si>
    <t>실손의료비</t>
    <phoneticPr fontId="4" type="noConversion"/>
  </si>
  <si>
    <t>1억원</t>
    <phoneticPr fontId="4" type="noConversion"/>
  </si>
  <si>
    <t>1.5억원</t>
    <phoneticPr fontId="4" type="noConversion"/>
  </si>
  <si>
    <t>가입</t>
    <phoneticPr fontId="4" type="noConversion"/>
  </si>
  <si>
    <t>미가입</t>
    <phoneticPr fontId="4" type="noConversion"/>
  </si>
  <si>
    <r>
      <t xml:space="preserve">- </t>
    </r>
    <r>
      <rPr>
        <b/>
        <sz val="11"/>
        <rFont val="HY강M"/>
        <family val="1"/>
        <charset val="129"/>
      </rPr>
      <t xml:space="preserve">모자보건법에 따른 부부 난임시술비 지원대상일 경우 복지점수 배정대상에서 제외함
  ※ 지원대상 여부 반드시 확인
</t>
    </r>
    <r>
      <rPr>
        <sz val="11"/>
        <rFont val="HY강M"/>
        <family val="1"/>
        <charset val="129"/>
      </rPr>
      <t xml:space="preserve">- 난임지원 복지점수를 신청하고자 하는 공무원은 정부지정 난임시술 의료기관 시술의사의 난임진단서와 해당 신청서
   를 소속기관의 장에게 제출하여야 하며, </t>
    </r>
    <r>
      <rPr>
        <b/>
        <sz val="11"/>
        <rFont val="HY강M"/>
        <family val="1"/>
        <charset val="129"/>
      </rPr>
      <t>난임부부 1회에 한하여 지원</t>
    </r>
    <r>
      <rPr>
        <sz val="11"/>
        <rFont val="HY강M"/>
        <family val="1"/>
        <charset val="129"/>
      </rPr>
      <t>함</t>
    </r>
    <phoneticPr fontId="4" type="noConversion"/>
  </si>
  <si>
    <r>
      <t>맞춤형 복지점수 신청서</t>
    </r>
    <r>
      <rPr>
        <b/>
        <u/>
        <sz val="20"/>
        <color rgb="FF000000"/>
        <rFont val="HY강M"/>
        <family val="1"/>
        <charset val="129"/>
      </rPr>
      <t>(소속기관 보관)</t>
    </r>
    <phoneticPr fontId="4" type="noConversion"/>
  </si>
  <si>
    <r>
      <t>난임지원 복지점수 신청서</t>
    </r>
    <r>
      <rPr>
        <b/>
        <u/>
        <sz val="20"/>
        <color rgb="FF000000"/>
        <rFont val="HY강M"/>
        <family val="1"/>
        <charset val="129"/>
      </rPr>
      <t>(소속기관 보관)</t>
    </r>
    <phoneticPr fontId="4" type="noConversion"/>
  </si>
  <si>
    <t>지역</t>
    <phoneticPr fontId="4" type="noConversion"/>
  </si>
  <si>
    <t>춘천</t>
    <phoneticPr fontId="4" type="noConversion"/>
  </si>
  <si>
    <t>00초등학교</t>
  </si>
  <si>
    <t>(금액단위: 원)</t>
    <phoneticPr fontId="4" type="noConversion"/>
  </si>
  <si>
    <t>교직원구분</t>
    <phoneticPr fontId="4" type="noConversion"/>
  </si>
  <si>
    <t>교육공무원</t>
    <phoneticPr fontId="4" type="noConversion"/>
  </si>
  <si>
    <t>지방공무원</t>
  </si>
  <si>
    <t>지방공무원</t>
    <phoneticPr fontId="4" type="noConversion"/>
  </si>
  <si>
    <t>사립학교 교원</t>
    <phoneticPr fontId="4" type="noConversion"/>
  </si>
  <si>
    <t>사립학교 직원</t>
    <phoneticPr fontId="4" type="noConversion"/>
  </si>
  <si>
    <r>
      <t xml:space="preserve">   -  반납 시 </t>
    </r>
    <r>
      <rPr>
        <u/>
        <sz val="16"/>
        <color indexed="8"/>
        <rFont val="한컴산뜻돋움"/>
        <family val="3"/>
        <charset val="129"/>
      </rPr>
      <t>'</t>
    </r>
    <r>
      <rPr>
        <b/>
        <u/>
        <sz val="16"/>
        <color indexed="8"/>
        <rFont val="한컴산뜻돋움"/>
        <family val="3"/>
        <charset val="129"/>
      </rPr>
      <t>송금기관명' 표기</t>
    </r>
    <phoneticPr fontId="4" type="noConversion"/>
  </si>
  <si>
    <t xml:space="preserve">       · 교육공무원, 사립학교 교원: 본청 유초등교육과</t>
    <phoneticPr fontId="4" type="noConversion"/>
  </si>
  <si>
    <t xml:space="preserve">       · 지방공무원: 본청 총무과</t>
    <phoneticPr fontId="4" type="noConversion"/>
  </si>
  <si>
    <t xml:space="preserve">       · 사립학교 직원: 본청 예산과</t>
    <phoneticPr fontId="4" type="noConversion"/>
  </si>
  <si>
    <t xml:space="preserve">       · 사립학교 직원(예산과): 농협 208-01-000894(예금주: 강원특별자치도교육청)</t>
    <phoneticPr fontId="4" type="noConversion"/>
  </si>
  <si>
    <t xml:space="preserve">       · 지방공무원(총무과): 농협 208-01-000175(예금주: 강원특별자치도교육청)</t>
    <phoneticPr fontId="4" type="noConversion"/>
  </si>
  <si>
    <t xml:space="preserve">       · 교육공무원, 사립학교 교원(유초등교육과): 농협 301-0076-0166-51(예금주: 강원특별자치도교육청)</t>
    <phoneticPr fontId="4" type="noConversion"/>
  </si>
  <si>
    <t xml:space="preserve">   -  정산반납금 사전보고(직종별 공문제출)</t>
    <phoneticPr fontId="4" type="noConversion"/>
  </si>
  <si>
    <t xml:space="preserve">   -  정산반납금 반납(각 과 일상경비 계좌로 직종별 반납)</t>
    <phoneticPr fontId="4" type="noConversion"/>
  </si>
  <si>
    <t>(단위: 점)</t>
    <phoneticPr fontId="4" type="noConversion"/>
  </si>
  <si>
    <t>직급</t>
    <phoneticPr fontId="4" type="noConversion"/>
  </si>
  <si>
    <t>소속</t>
    <phoneticPr fontId="4" type="noConversion"/>
  </si>
  <si>
    <t>이00</t>
  </si>
  <si>
    <t>기본항목
(보장보험 결정액)</t>
    <phoneticPr fontId="4" type="noConversion"/>
  </si>
  <si>
    <r>
      <t xml:space="preserve">   -  </t>
    </r>
    <r>
      <rPr>
        <b/>
        <u/>
        <sz val="16"/>
        <color rgb="FFFF0000"/>
        <rFont val="한컴산뜻돋움"/>
        <family val="3"/>
        <charset val="129"/>
      </rPr>
      <t>타시ㆍ도 전출자는 정산 대상 아님 (위 통보 양식으로 전입기관으로 통보)</t>
    </r>
    <phoneticPr fontId="4" type="noConversion"/>
  </si>
  <si>
    <t xml:space="preserve">   -  「맞춤형복지제도 운영계획」에 의거 "타시도전출"(예 : 경기도 등으로 전출, 국립학교로 전출 등)</t>
    <phoneticPr fontId="4" type="noConversion"/>
  </si>
  <si>
    <t xml:space="preserve">  1. 연초배정액 : 연간 배정된 복지점수 입력</t>
    <phoneticPr fontId="4" type="noConversion"/>
  </si>
  <si>
    <t xml:space="preserve">  2. 월할계산액(A) : 전출월까지의 가용 복지점수를 월할계산한 점수 입력</t>
    <phoneticPr fontId="4" type="noConversion"/>
  </si>
  <si>
    <t xml:space="preserve">  3. 기본항목(보장보험결정액) : 임용변동일을 기준으로 보험료를 일할계산한 점수 입력</t>
    <phoneticPr fontId="4" type="noConversion"/>
  </si>
  <si>
    <t xml:space="preserve">  4. 자율항목 : 자율항목으로 사용한 복지점수 입력</t>
    <phoneticPr fontId="4" type="noConversion"/>
  </si>
  <si>
    <t>860000-1000000</t>
  </si>
  <si>
    <t>이00, 이00</t>
  </si>
  <si>
    <t>첫째, 둘째(쌍둥이)</t>
  </si>
  <si>
    <t>(단위: 포인트)</t>
    <phoneticPr fontId="4" type="noConversion"/>
  </si>
  <si>
    <t>교사</t>
    <phoneticPr fontId="4" type="noConversion"/>
  </si>
  <si>
    <t xml:space="preserve">   -  출생일 기준 복지점수 배정(첫째: 1,000점 / 둘째: 3,000점 / 셋째 이상: 5,000점)</t>
    <phoneticPr fontId="4" type="noConversion"/>
  </si>
  <si>
    <t xml:space="preserve">   -  가족관계증명서 확인 후 복지점수 배정</t>
    <phoneticPr fontId="4" type="noConversion"/>
  </si>
  <si>
    <t>[서식 9]</t>
    <phoneticPr fontId="4" type="noConversion"/>
  </si>
  <si>
    <t>본인은 모자보건법에 따라 실시하는 난임부부 시술비 지원 대상이 아니며, 난임지원 복지점수 배정 대상자의 요건을 갖추었기에 이를 복지점수 배정에 반영해 줄 것을 요청합니다.</t>
    <phoneticPr fontId="4" type="noConversion"/>
  </si>
  <si>
    <r>
      <t>건강검진비 신청서</t>
    </r>
    <r>
      <rPr>
        <b/>
        <u/>
        <sz val="20"/>
        <color rgb="FF000000"/>
        <rFont val="HY강M"/>
        <family val="1"/>
        <charset val="129"/>
      </rPr>
      <t>(소속기관 보관)</t>
    </r>
    <phoneticPr fontId="4" type="noConversion"/>
  </si>
  <si>
    <t>검진내역</t>
    <phoneticPr fontId="4" type="noConversion"/>
  </si>
  <si>
    <t>검진일자</t>
    <phoneticPr fontId="4" type="noConversion"/>
  </si>
  <si>
    <t>검진기관</t>
    <phoneticPr fontId="4" type="noConversion"/>
  </si>
  <si>
    <t>검진항목</t>
    <phoneticPr fontId="4" type="noConversion"/>
  </si>
  <si>
    <t>검진비용</t>
    <phoneticPr fontId="4" type="noConversion"/>
  </si>
  <si>
    <t xml:space="preserve"> ※ 특정질병의 진료 및 치료비 명목으로 사용하지 않음(O표시)</t>
    <phoneticPr fontId="4" type="noConversion"/>
  </si>
  <si>
    <t>위와 같이 건강검진비를 신청합니다.</t>
    <phoneticPr fontId="4" type="noConversion"/>
  </si>
  <si>
    <t>첨부 : 건강검진 실시 관련 증빙서류(진료비 계산서) 1부.</t>
    <phoneticPr fontId="4" type="noConversion"/>
  </si>
  <si>
    <t>[서식8]</t>
    <phoneticPr fontId="4" type="noConversion"/>
  </si>
  <si>
    <t>[서식 10]</t>
    <phoneticPr fontId="4" type="noConversion"/>
  </si>
  <si>
    <t>2025년도 산정 
복지점수  ①</t>
    <phoneticPr fontId="4" type="noConversion"/>
  </si>
  <si>
    <t>2026년도 맞춤형복지 예산 정산반납 내역</t>
    <phoneticPr fontId="4" type="noConversion"/>
  </si>
  <si>
    <t>2026년도 복지점수 통지(타시도전출)</t>
    <phoneticPr fontId="4" type="noConversion"/>
  </si>
  <si>
    <t>2026년도 출산축하 복지점수 배정 현황 보고</t>
    <phoneticPr fontId="4" type="noConversion"/>
  </si>
  <si>
    <t>2026년도 난임지원 및 태아·산모 건강검진 복지점수 배정현황 보고</t>
    <phoneticPr fontId="4" type="noConversion"/>
  </si>
  <si>
    <t xml:space="preserve">   -  2026년 맞춤형복지 정산반납일: 2026. 3. 13.(금) / 2026. 6. 12.(금) / 2026. 9. 11.(금) / 2026. 12. 4.(금)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</si>
</sst>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#####\-#######"/>
  </numFmts>
  <fonts count="4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u/>
      <sz val="22"/>
      <color rgb="FF000000"/>
      <name val="HY강M"/>
      <family val="1"/>
      <charset val="129"/>
    </font>
    <font>
      <sz val="11"/>
      <name val="HY강M"/>
      <family val="1"/>
      <charset val="129"/>
    </font>
    <font>
      <sz val="13"/>
      <color rgb="FF000000"/>
      <name val="HY강M"/>
      <family val="1"/>
      <charset val="129"/>
    </font>
    <font>
      <b/>
      <sz val="16"/>
      <name val="HY강M"/>
      <family val="1"/>
      <charset val="129"/>
    </font>
    <font>
      <sz val="16"/>
      <name val="HY강M"/>
      <family val="1"/>
      <charset val="129"/>
    </font>
    <font>
      <b/>
      <sz val="16"/>
      <color rgb="FFFF0000"/>
      <name val="HY강M"/>
      <family val="1"/>
      <charset val="129"/>
    </font>
    <font>
      <b/>
      <sz val="11"/>
      <color rgb="FFFF0000"/>
      <name val="HY강M"/>
      <family val="1"/>
      <charset val="129"/>
    </font>
    <font>
      <b/>
      <sz val="11"/>
      <name val="HY강M"/>
      <family val="1"/>
      <charset val="129"/>
    </font>
    <font>
      <b/>
      <sz val="11"/>
      <color rgb="FF000000"/>
      <name val="HY강M"/>
      <family val="1"/>
      <charset val="129"/>
    </font>
    <font>
      <sz val="12"/>
      <color rgb="FF000000"/>
      <name val="HY강M"/>
      <family val="1"/>
      <charset val="129"/>
    </font>
    <font>
      <sz val="11"/>
      <color rgb="FF000000"/>
      <name val="HY강M"/>
      <family val="1"/>
      <charset val="129"/>
    </font>
    <font>
      <sz val="12"/>
      <name val="HY강M"/>
      <family val="1"/>
      <charset val="129"/>
    </font>
    <font>
      <sz val="13"/>
      <color theme="0"/>
      <name val="HY강M"/>
      <family val="1"/>
      <charset val="129"/>
    </font>
    <font>
      <sz val="13"/>
      <name val="한컴산뜻돋움"/>
      <family val="3"/>
      <charset val="129"/>
    </font>
    <font>
      <sz val="14"/>
      <name val="한컴산뜻돋움"/>
      <family val="3"/>
      <charset val="129"/>
    </font>
    <font>
      <sz val="11"/>
      <name val="한컴산뜻돋움"/>
      <family val="3"/>
      <charset val="129"/>
    </font>
    <font>
      <b/>
      <sz val="16"/>
      <name val="한컴산뜻돋움"/>
      <family val="3"/>
      <charset val="129"/>
    </font>
    <font>
      <sz val="16"/>
      <name val="한컴산뜻돋움"/>
      <family val="3"/>
      <charset val="129"/>
    </font>
    <font>
      <b/>
      <u/>
      <sz val="16"/>
      <color rgb="FFFF0000"/>
      <name val="한컴산뜻돋움"/>
      <family val="3"/>
      <charset val="129"/>
    </font>
    <font>
      <b/>
      <sz val="14"/>
      <name val="바탕"/>
      <family val="1"/>
      <charset val="129"/>
    </font>
    <font>
      <b/>
      <sz val="18"/>
      <name val="바탕"/>
      <family val="1"/>
      <charset val="129"/>
    </font>
    <font>
      <b/>
      <sz val="28"/>
      <name val="맑은 고딕"/>
      <family val="3"/>
      <charset val="129"/>
      <scheme val="minor"/>
    </font>
    <font>
      <b/>
      <sz val="16"/>
      <color rgb="FF0000FF"/>
      <name val="한컴산뜻돋움"/>
      <family val="3"/>
      <charset val="129"/>
    </font>
    <font>
      <b/>
      <u/>
      <sz val="20"/>
      <color rgb="FF000000"/>
      <name val="HY강M"/>
      <family val="1"/>
      <charset val="129"/>
    </font>
    <font>
      <sz val="30"/>
      <name val="HY강M"/>
      <family val="1"/>
      <charset val="129"/>
    </font>
    <font>
      <b/>
      <sz val="13"/>
      <name val="한컴산뜻돋움"/>
      <family val="3"/>
      <charset val="129"/>
    </font>
    <font>
      <b/>
      <sz val="16"/>
      <color theme="1"/>
      <name val="한컴산뜻돋움"/>
      <family val="3"/>
      <charset val="129"/>
    </font>
    <font>
      <sz val="16"/>
      <color indexed="8"/>
      <name val="한컴산뜻돋움"/>
      <family val="3"/>
      <charset val="129"/>
    </font>
    <font>
      <u/>
      <sz val="16"/>
      <color indexed="8"/>
      <name val="한컴산뜻돋움"/>
      <family val="3"/>
      <charset val="129"/>
    </font>
    <font>
      <b/>
      <u/>
      <sz val="16"/>
      <color indexed="8"/>
      <name val="한컴산뜻돋움"/>
      <family val="3"/>
      <charset val="129"/>
    </font>
    <font>
      <b/>
      <sz val="16"/>
      <color rgb="FFFF0000"/>
      <name val="한컴산뜻돋움"/>
      <family val="3"/>
      <charset val="129"/>
    </font>
    <font>
      <b/>
      <sz val="10"/>
      <color indexed="81"/>
      <name val="돋움"/>
      <family val="3"/>
      <charset val="129"/>
    </font>
    <font>
      <b/>
      <sz val="10"/>
      <color indexed="81"/>
      <name val="Tahoma"/>
      <family val="2"/>
    </font>
    <font>
      <b/>
      <sz val="13"/>
      <color rgb="FF0000FF"/>
      <name val="한컴산뜻돋움"/>
      <family val="3"/>
      <charset val="129"/>
    </font>
    <font>
      <b/>
      <sz val="32"/>
      <name val="맑은 고딕"/>
      <family val="3"/>
      <charset val="129"/>
      <scheme val="major"/>
    </font>
    <font>
      <b/>
      <sz val="18"/>
      <name val="한컴산뜻돋움"/>
      <family val="3"/>
      <charset val="129"/>
    </font>
    <font>
      <u/>
      <sz val="13"/>
      <name val="한컴산뜻돋움"/>
      <family val="3"/>
      <charset val="129"/>
    </font>
    <font>
      <b/>
      <sz val="28"/>
      <name val="맑은 고딕"/>
      <family val="3"/>
      <charset val="129"/>
      <scheme val="major"/>
    </font>
    <font>
      <sz val="13"/>
      <name val="HY강M"/>
      <family val="1"/>
      <charset val="129"/>
    </font>
    <font>
      <b/>
      <sz val="13"/>
      <color rgb="FF000000"/>
      <name val="HY강M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9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65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>
      <alignment vertical="center"/>
    </xf>
    <xf numFmtId="0" fontId="9" fillId="0" borderId="0" xfId="0" applyFont="1" applyFill="1">
      <alignment vertical="center"/>
    </xf>
    <xf numFmtId="0" fontId="9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7" fillId="0" borderId="0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20" fillId="0" borderId="0" xfId="0" applyFont="1" applyFill="1">
      <alignment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0" borderId="1" xfId="1" applyNumberFormat="1" applyFont="1" applyFill="1" applyBorder="1" applyAlignment="1">
      <alignment horizontal="center" vertical="center" shrinkToFit="1"/>
    </xf>
    <xf numFmtId="41" fontId="18" fillId="0" borderId="1" xfId="1" applyFont="1" applyFill="1" applyBorder="1" applyAlignment="1">
      <alignment horizontal="center" vertical="center" shrinkToFit="1"/>
    </xf>
    <xf numFmtId="41" fontId="18" fillId="0" borderId="1" xfId="1" applyFont="1" applyFill="1" applyBorder="1" applyAlignment="1" applyProtection="1">
      <alignment horizontal="center" vertical="center" shrinkToFit="1"/>
      <protection locked="0"/>
    </xf>
    <xf numFmtId="176" fontId="18" fillId="0" borderId="1" xfId="1" applyNumberFormat="1" applyFont="1" applyFill="1" applyBorder="1" applyAlignment="1" applyProtection="1">
      <alignment horizontal="center" vertical="center" shrinkToFit="1"/>
      <protection locked="0"/>
    </xf>
    <xf numFmtId="0" fontId="18" fillId="0" borderId="1" xfId="0" applyFont="1" applyFill="1" applyBorder="1" applyAlignment="1">
      <alignment horizontal="center" vertical="center" shrinkToFit="1"/>
    </xf>
    <xf numFmtId="41" fontId="20" fillId="0" borderId="0" xfId="1" applyFont="1" applyFill="1" applyBorder="1" applyAlignment="1">
      <alignment horizontal="center" vertical="center" shrinkToFit="1"/>
    </xf>
    <xf numFmtId="0" fontId="20" fillId="0" borderId="0" xfId="0" applyFont="1" applyFill="1" applyBorder="1" applyAlignment="1">
      <alignment horizontal="center" vertical="center" shrinkToFit="1"/>
    </xf>
    <xf numFmtId="41" fontId="19" fillId="0" borderId="0" xfId="1" applyFont="1" applyFill="1" applyBorder="1" applyAlignment="1">
      <alignment horizontal="center" vertical="center" shrinkToFit="1"/>
    </xf>
    <xf numFmtId="0" fontId="22" fillId="0" borderId="0" xfId="0" applyFont="1" applyFill="1" applyBorder="1" applyAlignment="1">
      <alignment vertical="center"/>
    </xf>
    <xf numFmtId="0" fontId="22" fillId="0" borderId="0" xfId="0" applyFont="1" applyFill="1" applyBorder="1" applyAlignment="1">
      <alignment horizontal="center" vertical="center" shrinkToFit="1"/>
    </xf>
    <xf numFmtId="41" fontId="22" fillId="0" borderId="0" xfId="1" applyFont="1" applyFill="1" applyBorder="1" applyAlignment="1">
      <alignment horizontal="center" vertical="center" shrinkToFit="1"/>
    </xf>
    <xf numFmtId="0" fontId="25" fillId="0" borderId="0" xfId="0" applyFont="1" applyFill="1" applyAlignment="1">
      <alignment horizontal="left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 wrapText="1"/>
    </xf>
    <xf numFmtId="41" fontId="21" fillId="0" borderId="0" xfId="1" applyFont="1" applyFill="1" applyBorder="1" applyAlignment="1">
      <alignment horizontal="left" vertical="center" shrinkToFit="1"/>
    </xf>
    <xf numFmtId="0" fontId="8" fillId="0" borderId="0" xfId="0" applyFont="1" applyFill="1" applyAlignment="1">
      <alignment horizontal="left" vertical="center"/>
    </xf>
    <xf numFmtId="0" fontId="29" fillId="0" borderId="0" xfId="0" applyFont="1" applyFill="1">
      <alignment vertical="center"/>
    </xf>
    <xf numFmtId="0" fontId="15" fillId="0" borderId="5" xfId="0" applyFont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41" fontId="18" fillId="0" borderId="1" xfId="1" applyFont="1" applyBorder="1" applyAlignment="1">
      <alignment horizontal="center" vertical="center"/>
    </xf>
    <xf numFmtId="41" fontId="18" fillId="0" borderId="1" xfId="1" applyFont="1" applyBorder="1">
      <alignment vertical="center"/>
    </xf>
    <xf numFmtId="0" fontId="18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26" fillId="0" borderId="0" xfId="0" applyFont="1" applyFill="1" applyAlignment="1">
      <alignment vertical="center"/>
    </xf>
    <xf numFmtId="41" fontId="30" fillId="0" borderId="1" xfId="1" applyFont="1" applyBorder="1">
      <alignment vertical="center"/>
    </xf>
    <xf numFmtId="0" fontId="32" fillId="0" borderId="0" xfId="0" applyFont="1" applyFill="1" applyAlignment="1">
      <alignment horizontal="left" vertical="center"/>
    </xf>
    <xf numFmtId="0" fontId="35" fillId="0" borderId="0" xfId="0" applyFont="1" applyFill="1" applyAlignment="1">
      <alignment horizontal="left" vertical="center"/>
    </xf>
    <xf numFmtId="0" fontId="22" fillId="0" borderId="0" xfId="0" applyFont="1" applyFill="1">
      <alignment vertical="center"/>
    </xf>
    <xf numFmtId="0" fontId="9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>
      <alignment vertical="center"/>
    </xf>
    <xf numFmtId="0" fontId="27" fillId="0" borderId="0" xfId="0" applyFont="1" applyFill="1" applyAlignment="1">
      <alignment horizontal="left" vertical="center"/>
    </xf>
    <xf numFmtId="0" fontId="21" fillId="0" borderId="0" xfId="0" applyFont="1" applyFill="1" applyAlignment="1">
      <alignment horizontal="left" vertical="center"/>
    </xf>
    <xf numFmtId="0" fontId="18" fillId="0" borderId="0" xfId="0" applyFont="1" applyBorder="1" applyAlignment="1">
      <alignment horizontal="right"/>
    </xf>
    <xf numFmtId="0" fontId="20" fillId="0" borderId="0" xfId="0" applyFont="1">
      <alignment vertical="center"/>
    </xf>
    <xf numFmtId="41" fontId="18" fillId="0" borderId="1" xfId="1" applyFont="1" applyFill="1" applyBorder="1" applyAlignment="1">
      <alignment horizontal="center" vertical="center"/>
    </xf>
    <xf numFmtId="41" fontId="18" fillId="0" borderId="0" xfId="1" applyFont="1" applyFill="1" applyAlignment="1">
      <alignment horizontal="center" vertical="center"/>
    </xf>
    <xf numFmtId="0" fontId="38" fillId="0" borderId="0" xfId="0" applyFont="1" applyFill="1" applyAlignment="1">
      <alignment horizontal="left" vertical="center"/>
    </xf>
    <xf numFmtId="0" fontId="18" fillId="0" borderId="0" xfId="0" applyFont="1">
      <alignment vertical="center"/>
    </xf>
    <xf numFmtId="0" fontId="18" fillId="0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41" fontId="18" fillId="0" borderId="0" xfId="1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left" vertical="center"/>
    </xf>
    <xf numFmtId="0" fontId="22" fillId="0" borderId="0" xfId="0" applyFont="1" applyFill="1" applyAlignment="1">
      <alignment vertical="center"/>
    </xf>
    <xf numFmtId="0" fontId="22" fillId="0" borderId="0" xfId="0" applyFont="1">
      <alignment vertical="center"/>
    </xf>
    <xf numFmtId="0" fontId="35" fillId="0" borderId="0" xfId="0" applyFont="1" applyFill="1">
      <alignment vertical="center"/>
    </xf>
    <xf numFmtId="0" fontId="39" fillId="0" borderId="0" xfId="0" applyFont="1" applyFill="1" applyAlignment="1">
      <alignment vertical="center"/>
    </xf>
    <xf numFmtId="0" fontId="20" fillId="0" borderId="0" xfId="0" applyFont="1" applyFill="1" applyAlignment="1">
      <alignment horizontal="center" vertical="center"/>
    </xf>
    <xf numFmtId="41" fontId="40" fillId="0" borderId="0" xfId="1" applyFont="1" applyFill="1" applyBorder="1" applyAlignment="1">
      <alignment horizontal="left" vertical="center" shrinkToFit="1"/>
    </xf>
    <xf numFmtId="0" fontId="22" fillId="0" borderId="0" xfId="0" applyFont="1" applyFill="1" applyBorder="1" applyAlignment="1">
      <alignment horizontal="left" vertical="center"/>
    </xf>
    <xf numFmtId="0" fontId="19" fillId="0" borderId="0" xfId="0" applyFont="1" applyFill="1">
      <alignment vertical="center"/>
    </xf>
    <xf numFmtId="0" fontId="41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18" fillId="0" borderId="0" xfId="0" applyFont="1" applyFill="1">
      <alignment vertical="center"/>
    </xf>
    <xf numFmtId="14" fontId="18" fillId="0" borderId="1" xfId="1" applyNumberFormat="1" applyFont="1" applyFill="1" applyBorder="1" applyAlignment="1" applyProtection="1">
      <alignment horizontal="center" vertical="center" shrinkToFit="1"/>
      <protection locked="0"/>
    </xf>
    <xf numFmtId="41" fontId="6" fillId="0" borderId="0" xfId="1" applyFont="1" applyFill="1">
      <alignment vertical="center"/>
    </xf>
    <xf numFmtId="41" fontId="41" fillId="0" borderId="0" xfId="1" applyFont="1" applyFill="1" applyAlignment="1">
      <alignment horizontal="center" vertical="center"/>
    </xf>
    <xf numFmtId="41" fontId="18" fillId="2" borderId="2" xfId="1" applyFont="1" applyFill="1" applyBorder="1" applyAlignment="1">
      <alignment horizontal="center" vertical="center" wrapText="1"/>
    </xf>
    <xf numFmtId="41" fontId="20" fillId="0" borderId="0" xfId="1" applyFont="1" applyFill="1">
      <alignment vertical="center"/>
    </xf>
    <xf numFmtId="41" fontId="22" fillId="0" borderId="0" xfId="1" applyFont="1" applyFill="1" applyBorder="1" applyAlignment="1">
      <alignment vertical="center"/>
    </xf>
    <xf numFmtId="41" fontId="22" fillId="0" borderId="0" xfId="1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43" fillId="0" borderId="5" xfId="0" applyFont="1" applyBorder="1">
      <alignment vertical="center"/>
    </xf>
    <xf numFmtId="0" fontId="7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24" fillId="0" borderId="0" xfId="0" applyFont="1" applyFill="1" applyAlignment="1">
      <alignment horizontal="left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6" fillId="0" borderId="0" xfId="0" quotePrefix="1" applyFont="1" applyAlignment="1">
      <alignment horizontal="left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14" fillId="0" borderId="22" xfId="0" quotePrefix="1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4" fillId="0" borderId="26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right" vertical="center" wrapText="1"/>
    </xf>
    <xf numFmtId="0" fontId="7" fillId="0" borderId="0" xfId="0" applyFont="1" applyBorder="1" applyAlignment="1">
      <alignment horizontal="right" vertical="center" wrapText="1"/>
    </xf>
    <xf numFmtId="0" fontId="7" fillId="0" borderId="10" xfId="0" applyFont="1" applyBorder="1" applyAlignment="1">
      <alignment horizontal="right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6" fillId="0" borderId="0" xfId="0" quotePrefix="1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9" xfId="0" quotePrefix="1" applyFont="1" applyBorder="1" applyAlignment="1">
      <alignment horizontal="left" vertical="center" wrapText="1"/>
    </xf>
    <xf numFmtId="0" fontId="7" fillId="0" borderId="0" xfId="0" quotePrefix="1" applyFont="1" applyBorder="1" applyAlignment="1">
      <alignment horizontal="left" vertical="center" wrapText="1"/>
    </xf>
    <xf numFmtId="0" fontId="7" fillId="0" borderId="10" xfId="0" quotePrefix="1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44" fillId="0" borderId="22" xfId="0" quotePrefix="1" applyFont="1" applyBorder="1" applyAlignment="1">
      <alignment horizontal="left" vertical="center" wrapText="1"/>
    </xf>
    <xf numFmtId="0" fontId="44" fillId="0" borderId="21" xfId="0" applyFont="1" applyBorder="1" applyAlignment="1">
      <alignment horizontal="left" vertical="center" wrapText="1"/>
    </xf>
    <xf numFmtId="0" fontId="44" fillId="0" borderId="10" xfId="0" applyFont="1" applyBorder="1" applyAlignment="1">
      <alignment horizontal="left" vertical="center" wrapText="1"/>
    </xf>
    <xf numFmtId="0" fontId="25" fillId="0" borderId="0" xfId="0" applyFont="1" applyFill="1" applyAlignment="1">
      <alignment horizontal="left" vertical="center"/>
    </xf>
    <xf numFmtId="0" fontId="18" fillId="2" borderId="1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41" fontId="21" fillId="0" borderId="0" xfId="1" applyFont="1" applyFill="1" applyBorder="1" applyAlignment="1">
      <alignment horizontal="left" vertical="center" shrinkToFit="1"/>
    </xf>
    <xf numFmtId="0" fontId="18" fillId="0" borderId="0" xfId="0" applyFont="1" applyBorder="1" applyAlignment="1">
      <alignment horizontal="right"/>
    </xf>
    <xf numFmtId="0" fontId="18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41" fontId="40" fillId="0" borderId="0" xfId="1" applyFont="1" applyFill="1" applyBorder="1" applyAlignment="1">
      <alignment horizontal="left" vertical="center" shrinkToFit="1"/>
    </xf>
    <xf numFmtId="0" fontId="42" fillId="0" borderId="0" xfId="0" applyFont="1" applyFill="1" applyAlignment="1">
      <alignment horizontal="center" vertical="center"/>
    </xf>
  </cellXfs>
  <cellStyles count="9">
    <cellStyle name="쉼표 [0]" xfId="1" builtinId="6"/>
    <cellStyle name="쉼표 [0] 2" xfId="5" xr:uid="{00000000-0005-0000-0000-000001000000}"/>
    <cellStyle name="쉼표 [0] 3" xfId="3" xr:uid="{00000000-0005-0000-0000-000002000000}"/>
    <cellStyle name="쉼표 [0] 4" xfId="8" xr:uid="{00000000-0005-0000-0000-000003000000}"/>
    <cellStyle name="표준" xfId="0" builtinId="0"/>
    <cellStyle name="표준 2" xfId="6" xr:uid="{00000000-0005-0000-0000-000005000000}"/>
    <cellStyle name="표준 3" xfId="4" xr:uid="{00000000-0005-0000-0000-000006000000}"/>
    <cellStyle name="표준 4" xfId="2" xr:uid="{00000000-0005-0000-0000-000007000000}"/>
    <cellStyle name="표준 5" xfId="7" xr:uid="{00000000-0005-0000-0000-000008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G17" sqref="G17"/>
    </sheetView>
  </sheetViews>
  <sheetFormatPr defaultRowHeight="13.5"/>
  <cols>
    <col min="1" max="1" width="8.21875" style="36" bestFit="1" customWidth="1"/>
    <col min="2" max="2" width="9.88671875" style="36" bestFit="1" customWidth="1"/>
    <col min="3" max="3" width="12.33203125" style="36" bestFit="1" customWidth="1"/>
  </cols>
  <sheetData>
    <row r="1" spans="1:3">
      <c r="A1" s="36" t="s">
        <v>38</v>
      </c>
      <c r="B1" s="36" t="s">
        <v>81</v>
      </c>
      <c r="C1" s="36" t="s">
        <v>93</v>
      </c>
    </row>
    <row r="2" spans="1:3">
      <c r="A2" s="36" t="s">
        <v>82</v>
      </c>
      <c r="B2" s="36" t="s">
        <v>84</v>
      </c>
      <c r="C2" s="36" t="s">
        <v>96</v>
      </c>
    </row>
    <row r="3" spans="1:3">
      <c r="A3" s="36" t="s">
        <v>83</v>
      </c>
      <c r="B3" s="36" t="s">
        <v>85</v>
      </c>
      <c r="C3" s="36" t="s">
        <v>94</v>
      </c>
    </row>
    <row r="4" spans="1:3">
      <c r="C4" s="36" t="s">
        <v>97</v>
      </c>
    </row>
    <row r="5" spans="1:3">
      <c r="C5" s="36" t="s">
        <v>98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3"/>
  <sheetViews>
    <sheetView tabSelected="1" zoomScaleNormal="100" workbookViewId="0">
      <selection activeCell="C8" sqref="C8"/>
    </sheetView>
  </sheetViews>
  <sheetFormatPr defaultRowHeight="34.5" customHeight="1"/>
  <cols>
    <col min="1" max="1" width="13.77734375" style="1" customWidth="1"/>
    <col min="2" max="2" width="10.77734375" style="1" customWidth="1"/>
    <col min="3" max="3" width="20.77734375" style="1" customWidth="1"/>
    <col min="4" max="5" width="8.88671875" style="1"/>
    <col min="6" max="7" width="9" style="1" customWidth="1"/>
    <col min="8" max="8" width="11" style="1" customWidth="1"/>
    <col min="9" max="16384" width="8.88671875" style="1"/>
  </cols>
  <sheetData>
    <row r="1" spans="1:8" s="3" customFormat="1" ht="21" thickBot="1">
      <c r="A1" s="96" t="s">
        <v>37</v>
      </c>
      <c r="B1" s="96"/>
      <c r="C1" s="6"/>
    </row>
    <row r="2" spans="1:8" ht="65.099999999999994" customHeight="1" thickBot="1">
      <c r="A2" s="93" t="s">
        <v>87</v>
      </c>
      <c r="B2" s="94"/>
      <c r="C2" s="94"/>
      <c r="D2" s="94"/>
      <c r="E2" s="94"/>
      <c r="F2" s="94"/>
      <c r="G2" s="94"/>
      <c r="H2" s="95"/>
    </row>
    <row r="3" spans="1:8" ht="30" customHeight="1" thickBot="1">
      <c r="A3" s="90" t="s">
        <v>72</v>
      </c>
      <c r="B3" s="91"/>
      <c r="C3" s="91"/>
      <c r="D3" s="91"/>
      <c r="E3" s="91"/>
      <c r="F3" s="91"/>
      <c r="G3" s="91"/>
      <c r="H3" s="92"/>
    </row>
    <row r="4" spans="1:8" ht="34.5" customHeight="1">
      <c r="A4" s="97" t="s">
        <v>47</v>
      </c>
      <c r="B4" s="78" t="s">
        <v>35</v>
      </c>
      <c r="C4" s="78"/>
      <c r="D4" s="99" t="s">
        <v>48</v>
      </c>
      <c r="E4" s="99"/>
      <c r="F4" s="101"/>
      <c r="G4" s="102"/>
      <c r="H4" s="103"/>
    </row>
    <row r="5" spans="1:8" ht="34.5" customHeight="1">
      <c r="A5" s="98"/>
      <c r="B5" s="77" t="s">
        <v>50</v>
      </c>
      <c r="C5" s="77"/>
      <c r="D5" s="100" t="s">
        <v>49</v>
      </c>
      <c r="E5" s="100"/>
      <c r="F5" s="104"/>
      <c r="G5" s="105"/>
      <c r="H5" s="106"/>
    </row>
    <row r="6" spans="1:8" ht="34.5" customHeight="1">
      <c r="A6" s="98" t="s">
        <v>51</v>
      </c>
      <c r="B6" s="110" t="s">
        <v>35</v>
      </c>
      <c r="C6" s="112" t="s">
        <v>52</v>
      </c>
      <c r="D6" s="112" t="s">
        <v>48</v>
      </c>
      <c r="E6" s="114"/>
      <c r="F6" s="107" t="s">
        <v>67</v>
      </c>
      <c r="G6" s="108"/>
      <c r="H6" s="109"/>
    </row>
    <row r="7" spans="1:8" ht="34.5" customHeight="1">
      <c r="A7" s="98"/>
      <c r="B7" s="111"/>
      <c r="C7" s="113"/>
      <c r="D7" s="113"/>
      <c r="E7" s="115"/>
      <c r="F7" s="77" t="s">
        <v>58</v>
      </c>
      <c r="G7" s="80" t="s">
        <v>59</v>
      </c>
      <c r="H7" s="9" t="s">
        <v>68</v>
      </c>
    </row>
    <row r="8" spans="1:8" ht="34.5" customHeight="1">
      <c r="A8" s="98"/>
      <c r="B8" s="77"/>
      <c r="C8" s="77"/>
      <c r="D8" s="100"/>
      <c r="E8" s="100"/>
      <c r="F8" s="77"/>
      <c r="G8" s="80"/>
      <c r="H8" s="81"/>
    </row>
    <row r="9" spans="1:8" ht="34.5" customHeight="1">
      <c r="A9" s="98" t="s">
        <v>53</v>
      </c>
      <c r="B9" s="77" t="s">
        <v>35</v>
      </c>
      <c r="C9" s="77"/>
      <c r="D9" s="100" t="s">
        <v>48</v>
      </c>
      <c r="E9" s="100"/>
      <c r="F9" s="104"/>
      <c r="G9" s="105"/>
      <c r="H9" s="106"/>
    </row>
    <row r="10" spans="1:8" ht="34.5" customHeight="1">
      <c r="A10" s="98"/>
      <c r="B10" s="77" t="s">
        <v>35</v>
      </c>
      <c r="C10" s="77"/>
      <c r="D10" s="100" t="s">
        <v>48</v>
      </c>
      <c r="E10" s="100"/>
      <c r="F10" s="104"/>
      <c r="G10" s="105"/>
      <c r="H10" s="106"/>
    </row>
    <row r="11" spans="1:8" ht="34.5" customHeight="1">
      <c r="A11" s="98"/>
      <c r="B11" s="77" t="s">
        <v>55</v>
      </c>
      <c r="C11" s="126" t="s">
        <v>74</v>
      </c>
      <c r="D11" s="127"/>
      <c r="E11" s="127"/>
      <c r="F11" s="127"/>
      <c r="G11" s="127"/>
      <c r="H11" s="128"/>
    </row>
    <row r="12" spans="1:8" ht="119.25" customHeight="1">
      <c r="A12" s="129" t="s">
        <v>69</v>
      </c>
      <c r="B12" s="130"/>
      <c r="C12" s="130"/>
      <c r="D12" s="130"/>
      <c r="E12" s="130"/>
      <c r="F12" s="130"/>
      <c r="G12" s="130"/>
      <c r="H12" s="131"/>
    </row>
    <row r="13" spans="1:8" ht="34.5" customHeight="1">
      <c r="A13" s="138" t="s">
        <v>71</v>
      </c>
      <c r="B13" s="139"/>
      <c r="C13" s="139"/>
      <c r="D13" s="139"/>
      <c r="E13" s="139"/>
      <c r="F13" s="139"/>
      <c r="G13" s="139"/>
      <c r="H13" s="140"/>
    </row>
    <row r="14" spans="1:8" ht="34.5" customHeight="1">
      <c r="A14" s="132" t="s">
        <v>56</v>
      </c>
      <c r="B14" s="133"/>
      <c r="C14" s="133"/>
      <c r="D14" s="133"/>
      <c r="E14" s="133"/>
      <c r="F14" s="133"/>
      <c r="G14" s="133"/>
      <c r="H14" s="134"/>
    </row>
    <row r="15" spans="1:8" ht="35.1" customHeight="1">
      <c r="A15" s="117" t="s">
        <v>78</v>
      </c>
      <c r="B15" s="118"/>
      <c r="C15" s="118"/>
      <c r="D15" s="118"/>
      <c r="E15" s="118"/>
      <c r="F15" s="118"/>
      <c r="G15" s="118"/>
      <c r="H15" s="119"/>
    </row>
    <row r="16" spans="1:8" ht="35.1" customHeight="1" thickBot="1">
      <c r="A16" s="135" t="s">
        <v>77</v>
      </c>
      <c r="B16" s="136"/>
      <c r="C16" s="136"/>
      <c r="D16" s="136"/>
      <c r="E16" s="136"/>
      <c r="F16" s="136"/>
      <c r="G16" s="136"/>
      <c r="H16" s="137"/>
    </row>
    <row r="17" spans="1:8" ht="34.5" customHeight="1" thickTop="1">
      <c r="A17" s="120" t="s">
        <v>36</v>
      </c>
      <c r="B17" s="121"/>
      <c r="C17" s="121"/>
      <c r="D17" s="121"/>
      <c r="E17" s="121"/>
      <c r="F17" s="121"/>
      <c r="G17" s="121"/>
      <c r="H17" s="122"/>
    </row>
    <row r="18" spans="1:8" ht="34.5" customHeight="1">
      <c r="A18" s="117" t="s">
        <v>56</v>
      </c>
      <c r="B18" s="118"/>
      <c r="C18" s="118"/>
      <c r="D18" s="118"/>
      <c r="E18" s="118"/>
      <c r="F18" s="118"/>
      <c r="G18" s="118"/>
      <c r="H18" s="119"/>
    </row>
    <row r="19" spans="1:8" ht="50.1" customHeight="1" thickBot="1">
      <c r="A19" s="123" t="s">
        <v>70</v>
      </c>
      <c r="B19" s="124"/>
      <c r="C19" s="124"/>
      <c r="D19" s="124"/>
      <c r="E19" s="124"/>
      <c r="F19" s="124"/>
      <c r="G19" s="124"/>
      <c r="H19" s="125"/>
    </row>
    <row r="20" spans="1:8" ht="13.5"/>
    <row r="21" spans="1:8" ht="34.5" customHeight="1">
      <c r="A21" s="116" t="s">
        <v>73</v>
      </c>
      <c r="B21" s="116"/>
      <c r="C21" s="116"/>
      <c r="D21" s="116"/>
      <c r="E21" s="116"/>
      <c r="F21" s="116"/>
      <c r="G21" s="116"/>
      <c r="H21" s="116"/>
    </row>
    <row r="22" spans="1:8" ht="34.5" customHeight="1">
      <c r="A22" s="116"/>
      <c r="B22" s="116"/>
      <c r="C22" s="116"/>
      <c r="D22" s="116"/>
      <c r="E22" s="116"/>
      <c r="F22" s="116"/>
      <c r="G22" s="116"/>
      <c r="H22" s="116"/>
    </row>
    <row r="23" spans="1:8" ht="45.75" customHeight="1">
      <c r="A23" s="116"/>
      <c r="B23" s="116"/>
      <c r="C23" s="116"/>
      <c r="D23" s="116"/>
      <c r="E23" s="116"/>
      <c r="F23" s="116"/>
      <c r="G23" s="116"/>
      <c r="H23" s="116"/>
    </row>
  </sheetData>
  <mergeCells count="29">
    <mergeCell ref="A21:H23"/>
    <mergeCell ref="A18:H18"/>
    <mergeCell ref="A17:H17"/>
    <mergeCell ref="A19:H19"/>
    <mergeCell ref="F9:H9"/>
    <mergeCell ref="C11:H11"/>
    <mergeCell ref="D9:E9"/>
    <mergeCell ref="A12:H12"/>
    <mergeCell ref="A9:A11"/>
    <mergeCell ref="A14:H14"/>
    <mergeCell ref="A15:H15"/>
    <mergeCell ref="A16:H16"/>
    <mergeCell ref="A13:H13"/>
    <mergeCell ref="F6:H6"/>
    <mergeCell ref="D10:E10"/>
    <mergeCell ref="F10:H10"/>
    <mergeCell ref="A6:A8"/>
    <mergeCell ref="D8:E8"/>
    <mergeCell ref="B6:B7"/>
    <mergeCell ref="C6:C7"/>
    <mergeCell ref="D6:E7"/>
    <mergeCell ref="A3:H3"/>
    <mergeCell ref="A2:H2"/>
    <mergeCell ref="A1:B1"/>
    <mergeCell ref="A4:A5"/>
    <mergeCell ref="D4:E4"/>
    <mergeCell ref="D5:E5"/>
    <mergeCell ref="F4:H4"/>
    <mergeCell ref="F5:H5"/>
  </mergeCells>
  <phoneticPr fontId="4" type="noConversion"/>
  <printOptions horizontalCentered="1"/>
  <pageMargins left="3.937007874015748E-2" right="3.937007874015748E-2" top="0.53" bottom="0.56999999999999995" header="0.31496062992125984" footer="0.31496062992125984"/>
  <pageSetup paperSize="9" scale="9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7"/>
  <sheetViews>
    <sheetView zoomScaleNormal="100" workbookViewId="0">
      <selection activeCell="A2" sqref="A2:F2"/>
    </sheetView>
  </sheetViews>
  <sheetFormatPr defaultRowHeight="34.5" customHeight="1"/>
  <cols>
    <col min="1" max="1" width="13.77734375" style="1" customWidth="1"/>
    <col min="2" max="2" width="10.77734375" style="1" customWidth="1"/>
    <col min="3" max="3" width="20.77734375" style="1" customWidth="1"/>
    <col min="4" max="5" width="8.88671875" style="1"/>
    <col min="6" max="6" width="25.6640625" style="1" customWidth="1"/>
    <col min="7" max="16384" width="8.88671875" style="1"/>
  </cols>
  <sheetData>
    <row r="1" spans="1:6" s="3" customFormat="1" ht="21" thickBot="1">
      <c r="A1" s="96" t="s">
        <v>8</v>
      </c>
      <c r="B1" s="96"/>
      <c r="C1" s="7"/>
    </row>
    <row r="2" spans="1:6" ht="65.099999999999994" customHeight="1" thickBot="1">
      <c r="A2" s="93" t="s">
        <v>88</v>
      </c>
      <c r="B2" s="94"/>
      <c r="C2" s="94"/>
      <c r="D2" s="94"/>
      <c r="E2" s="94"/>
      <c r="F2" s="95"/>
    </row>
    <row r="3" spans="1:6" ht="34.5" customHeight="1">
      <c r="A3" s="97" t="s">
        <v>47</v>
      </c>
      <c r="B3" s="78" t="s">
        <v>35</v>
      </c>
      <c r="C3" s="78"/>
      <c r="D3" s="99" t="s">
        <v>48</v>
      </c>
      <c r="E3" s="99"/>
      <c r="F3" s="82"/>
    </row>
    <row r="4" spans="1:6" ht="34.5" customHeight="1">
      <c r="A4" s="98"/>
      <c r="B4" s="77" t="s">
        <v>50</v>
      </c>
      <c r="C4" s="77"/>
      <c r="D4" s="100" t="s">
        <v>49</v>
      </c>
      <c r="E4" s="100"/>
      <c r="F4" s="83"/>
    </row>
    <row r="5" spans="1:6" ht="48" customHeight="1">
      <c r="A5" s="98" t="s">
        <v>51</v>
      </c>
      <c r="B5" s="79" t="s">
        <v>35</v>
      </c>
      <c r="C5" s="80" t="s">
        <v>52</v>
      </c>
      <c r="D5" s="104" t="s">
        <v>48</v>
      </c>
      <c r="E5" s="143"/>
      <c r="F5" s="29" t="s">
        <v>76</v>
      </c>
    </row>
    <row r="6" spans="1:6" ht="34.5" customHeight="1">
      <c r="A6" s="98"/>
      <c r="B6" s="77"/>
      <c r="C6" s="77"/>
      <c r="D6" s="100"/>
      <c r="E6" s="100"/>
      <c r="F6" s="84"/>
    </row>
    <row r="7" spans="1:6" ht="34.5" customHeight="1">
      <c r="A7" s="147" t="s">
        <v>80</v>
      </c>
      <c r="B7" s="127"/>
      <c r="C7" s="127"/>
      <c r="D7" s="127"/>
      <c r="E7" s="127"/>
      <c r="F7" s="83"/>
    </row>
    <row r="8" spans="1:6" ht="71.25" customHeight="1">
      <c r="A8" s="148" t="s">
        <v>127</v>
      </c>
      <c r="B8" s="149"/>
      <c r="C8" s="149"/>
      <c r="D8" s="149"/>
      <c r="E8" s="149"/>
      <c r="F8" s="150"/>
    </row>
    <row r="9" spans="1:6" ht="27.75" customHeight="1">
      <c r="A9" s="144" t="s">
        <v>75</v>
      </c>
      <c r="B9" s="145"/>
      <c r="C9" s="145"/>
      <c r="D9" s="145"/>
      <c r="E9" s="145"/>
      <c r="F9" s="146"/>
    </row>
    <row r="10" spans="1:6" ht="48.75" customHeight="1">
      <c r="A10" s="132" t="s">
        <v>56</v>
      </c>
      <c r="B10" s="133"/>
      <c r="C10" s="133"/>
      <c r="D10" s="133"/>
      <c r="E10" s="133"/>
      <c r="F10" s="134"/>
    </row>
    <row r="11" spans="1:6" ht="39.950000000000003" customHeight="1">
      <c r="A11" s="117" t="s">
        <v>79</v>
      </c>
      <c r="B11" s="118"/>
      <c r="C11" s="118"/>
      <c r="D11" s="118"/>
      <c r="E11" s="118"/>
      <c r="F11" s="119"/>
    </row>
    <row r="12" spans="1:6" ht="39.950000000000003" customHeight="1" thickBot="1">
      <c r="A12" s="135" t="s">
        <v>77</v>
      </c>
      <c r="B12" s="136"/>
      <c r="C12" s="136"/>
      <c r="D12" s="136"/>
      <c r="E12" s="136"/>
      <c r="F12" s="137"/>
    </row>
    <row r="13" spans="1:6" ht="39.950000000000003" customHeight="1" thickTop="1">
      <c r="A13" s="120" t="s">
        <v>36</v>
      </c>
      <c r="B13" s="121"/>
      <c r="C13" s="121"/>
      <c r="D13" s="121"/>
      <c r="E13" s="121"/>
      <c r="F13" s="122"/>
    </row>
    <row r="14" spans="1:6" ht="39.950000000000003" customHeight="1">
      <c r="A14" s="117" t="s">
        <v>56</v>
      </c>
      <c r="B14" s="118"/>
      <c r="C14" s="118"/>
      <c r="D14" s="118"/>
      <c r="E14" s="118"/>
      <c r="F14" s="119"/>
    </row>
    <row r="15" spans="1:6" ht="60" customHeight="1" thickBot="1">
      <c r="A15" s="123" t="s">
        <v>70</v>
      </c>
      <c r="B15" s="124"/>
      <c r="C15" s="124"/>
      <c r="D15" s="124"/>
      <c r="E15" s="124"/>
      <c r="F15" s="125"/>
    </row>
    <row r="16" spans="1:6" ht="16.5">
      <c r="A16" s="8"/>
      <c r="B16" s="8"/>
      <c r="C16" s="8"/>
      <c r="D16" s="8"/>
      <c r="E16" s="8"/>
      <c r="F16" s="8"/>
    </row>
    <row r="17" spans="1:6" ht="66.75" customHeight="1">
      <c r="A17" s="141" t="s">
        <v>86</v>
      </c>
      <c r="B17" s="142"/>
      <c r="C17" s="142"/>
      <c r="D17" s="142"/>
      <c r="E17" s="142"/>
      <c r="F17" s="142"/>
    </row>
  </sheetData>
  <mergeCells count="18">
    <mergeCell ref="A17:F17"/>
    <mergeCell ref="D5:E5"/>
    <mergeCell ref="A9:F9"/>
    <mergeCell ref="A7:E7"/>
    <mergeCell ref="A14:F14"/>
    <mergeCell ref="A15:F15"/>
    <mergeCell ref="A10:F10"/>
    <mergeCell ref="A11:F11"/>
    <mergeCell ref="A12:F12"/>
    <mergeCell ref="A13:F13"/>
    <mergeCell ref="A8:F8"/>
    <mergeCell ref="A5:A6"/>
    <mergeCell ref="D6:E6"/>
    <mergeCell ref="A1:B1"/>
    <mergeCell ref="A2:F2"/>
    <mergeCell ref="A3:A4"/>
    <mergeCell ref="D3:E3"/>
    <mergeCell ref="D4:E4"/>
  </mergeCells>
  <phoneticPr fontId="4" type="noConversion"/>
  <printOptions horizontalCentered="1"/>
  <pageMargins left="3.937007874015748E-2" right="3.937007874015748E-2" top="0.74803149606299213" bottom="0.6692913385826772" header="0.31496062992125984" footer="0.31496062992125984"/>
  <pageSetup paperSize="9"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7"/>
  <sheetViews>
    <sheetView zoomScaleNormal="100" workbookViewId="0">
      <selection activeCell="G8" sqref="G8"/>
    </sheetView>
  </sheetViews>
  <sheetFormatPr defaultRowHeight="34.5" customHeight="1"/>
  <cols>
    <col min="1" max="1" width="13.77734375" style="1" customWidth="1"/>
    <col min="2" max="2" width="10.77734375" style="1" customWidth="1"/>
    <col min="3" max="3" width="20.77734375" style="1" customWidth="1"/>
    <col min="4" max="5" width="8.88671875" style="1"/>
    <col min="6" max="6" width="25.6640625" style="1" customWidth="1"/>
    <col min="7" max="16384" width="8.88671875" style="1"/>
  </cols>
  <sheetData>
    <row r="1" spans="1:6" s="3" customFormat="1" ht="21" thickBot="1">
      <c r="A1" s="96" t="s">
        <v>54</v>
      </c>
      <c r="B1" s="96"/>
      <c r="C1" s="27"/>
    </row>
    <row r="2" spans="1:6" ht="65.099999999999994" customHeight="1" thickBot="1">
      <c r="A2" s="93" t="s">
        <v>128</v>
      </c>
      <c r="B2" s="94"/>
      <c r="C2" s="94"/>
      <c r="D2" s="94"/>
      <c r="E2" s="94"/>
      <c r="F2" s="95"/>
    </row>
    <row r="3" spans="1:6" ht="34.5" customHeight="1">
      <c r="A3" s="97" t="s">
        <v>47</v>
      </c>
      <c r="B3" s="89" t="s">
        <v>35</v>
      </c>
      <c r="C3" s="89"/>
      <c r="D3" s="99" t="s">
        <v>48</v>
      </c>
      <c r="E3" s="99"/>
      <c r="F3" s="82"/>
    </row>
    <row r="4" spans="1:6" ht="34.5" customHeight="1">
      <c r="A4" s="98"/>
      <c r="B4" s="87" t="s">
        <v>50</v>
      </c>
      <c r="C4" s="87"/>
      <c r="D4" s="100" t="s">
        <v>49</v>
      </c>
      <c r="E4" s="100"/>
      <c r="F4" s="83"/>
    </row>
    <row r="5" spans="1:6" ht="36.75" customHeight="1">
      <c r="A5" s="98" t="s">
        <v>129</v>
      </c>
      <c r="B5" s="88" t="s">
        <v>130</v>
      </c>
      <c r="C5" s="86"/>
      <c r="D5" s="104" t="s">
        <v>131</v>
      </c>
      <c r="E5" s="143"/>
      <c r="F5" s="29"/>
    </row>
    <row r="6" spans="1:6" ht="34.5" customHeight="1">
      <c r="A6" s="98"/>
      <c r="B6" s="87" t="s">
        <v>132</v>
      </c>
      <c r="C6" s="87"/>
      <c r="D6" s="100" t="s">
        <v>133</v>
      </c>
      <c r="E6" s="100"/>
      <c r="F6" s="84"/>
    </row>
    <row r="7" spans="1:6" ht="34.5" customHeight="1">
      <c r="A7" s="147" t="s">
        <v>134</v>
      </c>
      <c r="B7" s="127"/>
      <c r="C7" s="127"/>
      <c r="D7" s="127"/>
      <c r="E7" s="127"/>
      <c r="F7" s="83"/>
    </row>
    <row r="8" spans="1:6" ht="36.75" customHeight="1">
      <c r="A8" s="148" t="s">
        <v>135</v>
      </c>
      <c r="B8" s="149"/>
      <c r="C8" s="149"/>
      <c r="D8" s="149"/>
      <c r="E8" s="149"/>
      <c r="F8" s="150"/>
    </row>
    <row r="9" spans="1:6" ht="27.75" customHeight="1">
      <c r="A9" s="144" t="s">
        <v>136</v>
      </c>
      <c r="B9" s="145"/>
      <c r="C9" s="145"/>
      <c r="D9" s="145"/>
      <c r="E9" s="145"/>
      <c r="F9" s="146"/>
    </row>
    <row r="10" spans="1:6" ht="48.75" customHeight="1">
      <c r="A10" s="132" t="s">
        <v>56</v>
      </c>
      <c r="B10" s="133"/>
      <c r="C10" s="133"/>
      <c r="D10" s="133"/>
      <c r="E10" s="133"/>
      <c r="F10" s="134"/>
    </row>
    <row r="11" spans="1:6" ht="39.950000000000003" customHeight="1">
      <c r="A11" s="117" t="s">
        <v>79</v>
      </c>
      <c r="B11" s="118"/>
      <c r="C11" s="118"/>
      <c r="D11" s="118"/>
      <c r="E11" s="118"/>
      <c r="F11" s="119"/>
    </row>
    <row r="12" spans="1:6" ht="39.950000000000003" customHeight="1" thickBot="1">
      <c r="A12" s="135" t="s">
        <v>77</v>
      </c>
      <c r="B12" s="136"/>
      <c r="C12" s="136"/>
      <c r="D12" s="136"/>
      <c r="E12" s="136"/>
      <c r="F12" s="137"/>
    </row>
    <row r="13" spans="1:6" ht="39.950000000000003" customHeight="1" thickTop="1">
      <c r="A13" s="120" t="s">
        <v>36</v>
      </c>
      <c r="B13" s="121"/>
      <c r="C13" s="121"/>
      <c r="D13" s="121"/>
      <c r="E13" s="121"/>
      <c r="F13" s="122"/>
    </row>
    <row r="14" spans="1:6" ht="39.950000000000003" customHeight="1">
      <c r="A14" s="117" t="s">
        <v>56</v>
      </c>
      <c r="B14" s="118"/>
      <c r="C14" s="118"/>
      <c r="D14" s="118"/>
      <c r="E14" s="118"/>
      <c r="F14" s="119"/>
    </row>
    <row r="15" spans="1:6" ht="60" customHeight="1" thickBot="1">
      <c r="A15" s="123" t="s">
        <v>70</v>
      </c>
      <c r="B15" s="124"/>
      <c r="C15" s="124"/>
      <c r="D15" s="124"/>
      <c r="E15" s="124"/>
      <c r="F15" s="125"/>
    </row>
    <row r="16" spans="1:6" ht="16.5">
      <c r="A16" s="85"/>
      <c r="B16" s="85"/>
      <c r="C16" s="85"/>
      <c r="D16" s="85"/>
      <c r="E16" s="85"/>
      <c r="F16" s="85"/>
    </row>
    <row r="17" spans="1:6" ht="66.75" customHeight="1">
      <c r="A17" s="141"/>
      <c r="B17" s="142"/>
      <c r="C17" s="142"/>
      <c r="D17" s="142"/>
      <c r="E17" s="142"/>
      <c r="F17" s="142"/>
    </row>
  </sheetData>
  <mergeCells count="18">
    <mergeCell ref="A13:F13"/>
    <mergeCell ref="A14:F14"/>
    <mergeCell ref="A15:F15"/>
    <mergeCell ref="A17:F17"/>
    <mergeCell ref="A7:E7"/>
    <mergeCell ref="A8:F8"/>
    <mergeCell ref="A9:F9"/>
    <mergeCell ref="A10:F10"/>
    <mergeCell ref="A11:F11"/>
    <mergeCell ref="A12:F12"/>
    <mergeCell ref="A5:A6"/>
    <mergeCell ref="D5:E5"/>
    <mergeCell ref="D6:E6"/>
    <mergeCell ref="A1:B1"/>
    <mergeCell ref="A2:F2"/>
    <mergeCell ref="A3:A4"/>
    <mergeCell ref="D3:E3"/>
    <mergeCell ref="D4:E4"/>
  </mergeCells>
  <phoneticPr fontId="4" type="noConversion"/>
  <printOptions horizontalCentered="1"/>
  <pageMargins left="3.937007874015748E-2" right="3.937007874015748E-2" top="0.74803149606299213" bottom="0.6692913385826772" header="0.31496062992125984" footer="0.31496062992125984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1"/>
  <sheetViews>
    <sheetView topLeftCell="A2" zoomScale="80" zoomScaleNormal="80" zoomScaleSheetLayoutView="75" workbookViewId="0">
      <selection activeCell="F19" sqref="F19"/>
    </sheetView>
  </sheetViews>
  <sheetFormatPr defaultRowHeight="13.5"/>
  <cols>
    <col min="1" max="1" width="8.77734375" style="2" customWidth="1"/>
    <col min="2" max="2" width="8.88671875" style="2" bestFit="1" customWidth="1"/>
    <col min="3" max="3" width="30.77734375" style="2" customWidth="1"/>
    <col min="4" max="4" width="18.77734375" style="2" customWidth="1"/>
    <col min="5" max="6" width="13.77734375" style="2" customWidth="1"/>
    <col min="7" max="11" width="16.77734375" style="3" customWidth="1"/>
    <col min="12" max="12" width="22.77734375" style="3" customWidth="1"/>
    <col min="13" max="13" width="15.33203125" style="3" customWidth="1"/>
    <col min="14" max="16384" width="8.88671875" style="3"/>
  </cols>
  <sheetData>
    <row r="1" spans="1:15" ht="39.950000000000003" customHeight="1">
      <c r="A1" s="151" t="s">
        <v>28</v>
      </c>
      <c r="B1" s="151"/>
      <c r="C1" s="151"/>
      <c r="D1" s="151"/>
      <c r="E1" s="27"/>
    </row>
    <row r="2" spans="1:15" s="28" customFormat="1" ht="50.1" customHeight="1">
      <c r="A2" s="155" t="s">
        <v>140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37"/>
    </row>
    <row r="3" spans="1:15" s="1" customFormat="1" ht="25.5" customHeight="1">
      <c r="A3" s="47" t="s">
        <v>144</v>
      </c>
      <c r="K3" s="157" t="s">
        <v>92</v>
      </c>
      <c r="L3" s="157"/>
    </row>
    <row r="4" spans="1:15" s="1" customFormat="1" ht="35.1" customHeight="1">
      <c r="A4" s="158" t="s">
        <v>1</v>
      </c>
      <c r="B4" s="152" t="s">
        <v>12</v>
      </c>
      <c r="C4" s="153"/>
      <c r="D4" s="153"/>
      <c r="E4" s="153"/>
      <c r="F4" s="154"/>
      <c r="G4" s="158" t="s">
        <v>13</v>
      </c>
      <c r="H4" s="158"/>
      <c r="I4" s="158"/>
      <c r="J4" s="158"/>
      <c r="K4" s="159" t="s">
        <v>14</v>
      </c>
      <c r="L4" s="159" t="s">
        <v>11</v>
      </c>
    </row>
    <row r="5" spans="1:15" s="1" customFormat="1" ht="35.1" customHeight="1">
      <c r="A5" s="158"/>
      <c r="B5" s="30" t="s">
        <v>89</v>
      </c>
      <c r="C5" s="30" t="s">
        <v>4</v>
      </c>
      <c r="D5" s="30" t="s">
        <v>15</v>
      </c>
      <c r="E5" s="11" t="s">
        <v>5</v>
      </c>
      <c r="F5" s="30" t="s">
        <v>6</v>
      </c>
      <c r="G5" s="11" t="s">
        <v>139</v>
      </c>
      <c r="H5" s="11" t="s">
        <v>16</v>
      </c>
      <c r="I5" s="11" t="s">
        <v>17</v>
      </c>
      <c r="J5" s="11" t="s">
        <v>18</v>
      </c>
      <c r="K5" s="159"/>
      <c r="L5" s="159"/>
    </row>
    <row r="6" spans="1:15" s="1" customFormat="1" ht="35.1" customHeight="1">
      <c r="A6" s="31">
        <v>1</v>
      </c>
      <c r="B6" s="31" t="s">
        <v>90</v>
      </c>
      <c r="C6" s="31" t="s">
        <v>41</v>
      </c>
      <c r="D6" s="32" t="s">
        <v>95</v>
      </c>
      <c r="E6" s="33" t="s">
        <v>9</v>
      </c>
      <c r="F6" s="33" t="s">
        <v>40</v>
      </c>
      <c r="G6" s="34">
        <v>131660</v>
      </c>
      <c r="H6" s="34">
        <v>24560</v>
      </c>
      <c r="I6" s="34">
        <f>440400+70000</f>
        <v>510400</v>
      </c>
      <c r="J6" s="34">
        <f>G6-H6-I6</f>
        <v>-403300</v>
      </c>
      <c r="K6" s="38">
        <f>-J6</f>
        <v>403300</v>
      </c>
      <c r="L6" s="35"/>
    </row>
    <row r="7" spans="1:15" s="1" customFormat="1" ht="35.1" customHeight="1">
      <c r="A7" s="31"/>
      <c r="B7" s="31"/>
      <c r="C7" s="31"/>
      <c r="D7" s="32"/>
      <c r="E7" s="33"/>
      <c r="F7" s="33"/>
      <c r="G7" s="34"/>
      <c r="H7" s="34"/>
      <c r="I7" s="34"/>
      <c r="J7" s="34">
        <f t="shared" ref="J7" si="0">G7-H7-I7</f>
        <v>0</v>
      </c>
      <c r="K7" s="38">
        <f>-J7</f>
        <v>0</v>
      </c>
      <c r="L7" s="35"/>
    </row>
    <row r="8" spans="1:15" s="1" customFormat="1" ht="35.1" customHeight="1">
      <c r="A8" s="160" t="s">
        <v>19</v>
      </c>
      <c r="B8" s="160"/>
      <c r="C8" s="160"/>
      <c r="D8" s="160"/>
      <c r="E8" s="160"/>
      <c r="F8" s="160"/>
      <c r="G8" s="34">
        <f>SUM(G6:G7)</f>
        <v>131660</v>
      </c>
      <c r="H8" s="34">
        <f>SUM(H6:H7)</f>
        <v>24560</v>
      </c>
      <c r="I8" s="34">
        <f>SUM(I6:I7)</f>
        <v>510400</v>
      </c>
      <c r="J8" s="34">
        <f>SUM(J6:J7)</f>
        <v>-403300</v>
      </c>
      <c r="K8" s="38">
        <f>SUM(K6:K7)</f>
        <v>403300</v>
      </c>
      <c r="L8" s="35"/>
    </row>
    <row r="9" spans="1:15" s="10" customFormat="1" ht="24.75" customHeight="1">
      <c r="A9" s="17"/>
      <c r="B9" s="17"/>
      <c r="C9" s="17"/>
      <c r="D9" s="17"/>
      <c r="E9" s="17"/>
      <c r="F9" s="17"/>
      <c r="G9" s="17"/>
      <c r="H9" s="17"/>
      <c r="I9" s="17"/>
      <c r="J9" s="18"/>
      <c r="K9" s="18"/>
      <c r="L9" s="18"/>
      <c r="M9" s="17"/>
    </row>
    <row r="10" spans="1:15" s="41" customFormat="1" ht="30" customHeight="1">
      <c r="A10" s="156" t="s">
        <v>10</v>
      </c>
      <c r="B10" s="156"/>
      <c r="C10" s="156"/>
      <c r="D10" s="156"/>
      <c r="E10" s="156"/>
      <c r="F10" s="22"/>
      <c r="G10" s="22"/>
      <c r="H10" s="22"/>
      <c r="I10" s="22"/>
      <c r="J10" s="21"/>
      <c r="K10" s="21"/>
      <c r="L10" s="21"/>
      <c r="M10" s="21"/>
      <c r="N10" s="21"/>
      <c r="O10" s="22"/>
    </row>
    <row r="11" spans="1:15" s="41" customFormat="1" ht="30" customHeight="1">
      <c r="A11" s="20" t="s">
        <v>7</v>
      </c>
      <c r="B11" s="20"/>
      <c r="C11" s="20"/>
      <c r="D11" s="26"/>
      <c r="E11" s="26"/>
      <c r="F11" s="22"/>
      <c r="G11" s="22"/>
      <c r="H11" s="22"/>
      <c r="I11" s="22"/>
      <c r="J11" s="21"/>
      <c r="K11" s="21"/>
      <c r="L11" s="21"/>
      <c r="M11" s="21"/>
      <c r="N11" s="21"/>
      <c r="O11" s="22"/>
    </row>
    <row r="12" spans="1:15" s="4" customFormat="1" ht="32.25" customHeight="1">
      <c r="A12" s="39" t="s">
        <v>99</v>
      </c>
      <c r="B12" s="5"/>
      <c r="C12" s="5"/>
      <c r="D12" s="5"/>
      <c r="E12" s="5"/>
      <c r="F12" s="42"/>
    </row>
    <row r="13" spans="1:15" s="4" customFormat="1" ht="32.25" customHeight="1">
      <c r="A13" s="48" t="s">
        <v>57</v>
      </c>
      <c r="B13" s="5"/>
      <c r="C13" s="5"/>
      <c r="D13" s="5"/>
      <c r="E13" s="5"/>
      <c r="F13" s="42"/>
    </row>
    <row r="14" spans="1:15" s="4" customFormat="1" ht="32.25" customHeight="1">
      <c r="A14" s="40" t="s">
        <v>106</v>
      </c>
      <c r="B14" s="5"/>
      <c r="C14" s="5"/>
      <c r="D14" s="5"/>
      <c r="E14" s="5"/>
      <c r="F14" s="42"/>
    </row>
    <row r="15" spans="1:15" s="4" customFormat="1" ht="32.25" customHeight="1">
      <c r="A15" s="48" t="s">
        <v>100</v>
      </c>
      <c r="B15" s="5"/>
      <c r="C15" s="5"/>
      <c r="D15" s="5"/>
      <c r="E15" s="5"/>
      <c r="F15" s="42"/>
    </row>
    <row r="16" spans="1:15" s="4" customFormat="1" ht="32.25" customHeight="1">
      <c r="A16" s="48" t="s">
        <v>101</v>
      </c>
      <c r="B16" s="5"/>
      <c r="C16" s="5"/>
      <c r="D16" s="5"/>
      <c r="E16" s="5"/>
      <c r="F16" s="42"/>
    </row>
    <row r="17" spans="1:6" s="4" customFormat="1" ht="32.25" customHeight="1">
      <c r="A17" s="48" t="s">
        <v>102</v>
      </c>
      <c r="B17" s="5"/>
      <c r="C17" s="5"/>
      <c r="D17" s="5"/>
      <c r="E17" s="5"/>
      <c r="F17" s="42"/>
    </row>
    <row r="18" spans="1:6" s="46" customFormat="1" ht="32.25" customHeight="1">
      <c r="A18" s="40" t="s">
        <v>107</v>
      </c>
      <c r="B18" s="44"/>
      <c r="C18" s="44"/>
      <c r="D18" s="44"/>
      <c r="E18" s="44"/>
      <c r="F18" s="45"/>
    </row>
    <row r="19" spans="1:6" s="46" customFormat="1" ht="32.25" customHeight="1">
      <c r="A19" s="43" t="s">
        <v>105</v>
      </c>
      <c r="B19" s="44"/>
      <c r="C19" s="44"/>
      <c r="D19" s="44"/>
      <c r="E19" s="44"/>
      <c r="F19" s="45"/>
    </row>
    <row r="20" spans="1:6" s="46" customFormat="1" ht="32.25" customHeight="1">
      <c r="A20" s="43" t="s">
        <v>104</v>
      </c>
      <c r="B20" s="44"/>
      <c r="C20" s="44"/>
      <c r="D20" s="44"/>
      <c r="E20" s="44"/>
      <c r="F20" s="45"/>
    </row>
    <row r="21" spans="1:6" s="46" customFormat="1" ht="32.25" customHeight="1">
      <c r="A21" s="43" t="s">
        <v>103</v>
      </c>
      <c r="B21" s="44"/>
      <c r="C21" s="44"/>
      <c r="D21" s="44"/>
      <c r="E21" s="44"/>
      <c r="F21" s="45"/>
    </row>
  </sheetData>
  <mergeCells count="10">
    <mergeCell ref="A1:D1"/>
    <mergeCell ref="B4:F4"/>
    <mergeCell ref="A2:L2"/>
    <mergeCell ref="A10:E10"/>
    <mergeCell ref="K3:L3"/>
    <mergeCell ref="A4:A5"/>
    <mergeCell ref="G4:J4"/>
    <mergeCell ref="K4:K5"/>
    <mergeCell ref="L4:L5"/>
    <mergeCell ref="A8:F8"/>
  </mergeCells>
  <phoneticPr fontId="4" type="noConversion"/>
  <printOptions horizontalCentered="1"/>
  <pageMargins left="0.27559055118110237" right="0.27559055118110237" top="0.98425196850393704" bottom="0.39370078740157483" header="0.51181102362204722" footer="0.39370078740157483"/>
  <pageSetup paperSize="9" scale="60" orientation="landscape" r:id="rId1"/>
  <headerFooter alignWithMargins="0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데이터!$C$2:$C$5</xm:f>
          </x14:formula1>
          <xm:sqref>D6:D7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6"/>
  <sheetViews>
    <sheetView zoomScale="80" zoomScaleNormal="80" zoomScaleSheetLayoutView="75" workbookViewId="0">
      <selection activeCell="E20" sqref="E20"/>
    </sheetView>
  </sheetViews>
  <sheetFormatPr defaultRowHeight="13.5"/>
  <cols>
    <col min="1" max="1" width="30.77734375" style="2" customWidth="1"/>
    <col min="2" max="2" width="20.77734375" style="2" customWidth="1"/>
    <col min="3" max="3" width="15.77734375" style="2" customWidth="1"/>
    <col min="4" max="5" width="20.77734375" style="2" customWidth="1"/>
    <col min="6" max="6" width="13.77734375" style="2" customWidth="1"/>
    <col min="7" max="10" width="16.77734375" style="3" customWidth="1"/>
    <col min="11" max="11" width="14.88671875" style="3" customWidth="1"/>
    <col min="12" max="12" width="23.5546875" style="3" customWidth="1"/>
    <col min="13" max="13" width="15.33203125" style="3" customWidth="1"/>
    <col min="14" max="16384" width="8.88671875" style="3"/>
  </cols>
  <sheetData>
    <row r="1" spans="1:23" ht="39.950000000000003" customHeight="1">
      <c r="A1" s="151" t="s">
        <v>137</v>
      </c>
      <c r="B1" s="151"/>
      <c r="C1" s="151"/>
      <c r="D1" s="151"/>
      <c r="E1" s="27"/>
    </row>
    <row r="2" spans="1:23" s="28" customFormat="1" ht="50.1" customHeight="1">
      <c r="A2" s="155" t="s">
        <v>141</v>
      </c>
      <c r="B2" s="155"/>
      <c r="C2" s="155"/>
      <c r="D2" s="155"/>
      <c r="E2" s="155"/>
      <c r="F2" s="155"/>
      <c r="G2" s="155"/>
      <c r="H2" s="155"/>
      <c r="I2" s="155"/>
      <c r="J2" s="155"/>
      <c r="K2" s="37"/>
      <c r="L2" s="37"/>
      <c r="M2" s="37"/>
    </row>
    <row r="3" spans="1:23" s="54" customFormat="1" ht="25.5" customHeight="1">
      <c r="A3" s="53"/>
      <c r="J3" s="49" t="s">
        <v>108</v>
      </c>
      <c r="K3" s="49"/>
    </row>
    <row r="4" spans="1:23" s="55" customFormat="1" ht="50.1" customHeight="1">
      <c r="A4" s="158" t="s">
        <v>110</v>
      </c>
      <c r="B4" s="158" t="s">
        <v>109</v>
      </c>
      <c r="C4" s="158" t="s">
        <v>6</v>
      </c>
      <c r="D4" s="159" t="s">
        <v>20</v>
      </c>
      <c r="E4" s="161" t="s">
        <v>21</v>
      </c>
      <c r="F4" s="158" t="s">
        <v>22</v>
      </c>
      <c r="G4" s="158"/>
      <c r="H4" s="158"/>
      <c r="I4" s="159" t="s">
        <v>23</v>
      </c>
      <c r="J4" s="159" t="s">
        <v>24</v>
      </c>
    </row>
    <row r="5" spans="1:23" s="55" customFormat="1" ht="50.1" customHeight="1">
      <c r="A5" s="158"/>
      <c r="B5" s="158"/>
      <c r="C5" s="158"/>
      <c r="D5" s="158"/>
      <c r="E5" s="162"/>
      <c r="F5" s="56" t="s">
        <v>25</v>
      </c>
      <c r="G5" s="11" t="s">
        <v>112</v>
      </c>
      <c r="H5" s="11" t="s">
        <v>26</v>
      </c>
      <c r="I5" s="158"/>
      <c r="J5" s="158"/>
    </row>
    <row r="6" spans="1:23" s="52" customFormat="1" ht="50.1" customHeight="1">
      <c r="A6" s="51" t="s">
        <v>42</v>
      </c>
      <c r="B6" s="51" t="s">
        <v>0</v>
      </c>
      <c r="C6" s="51" t="s">
        <v>66</v>
      </c>
      <c r="D6" s="51">
        <v>1050000</v>
      </c>
      <c r="E6" s="51">
        <v>131660</v>
      </c>
      <c r="F6" s="51">
        <f>G6+H6</f>
        <v>24560</v>
      </c>
      <c r="G6" s="51">
        <v>24560</v>
      </c>
      <c r="H6" s="51">
        <v>0</v>
      </c>
      <c r="I6" s="51">
        <f>E6-F6</f>
        <v>107100</v>
      </c>
      <c r="J6" s="51"/>
    </row>
    <row r="7" spans="1:23" s="52" customFormat="1" ht="24.75" customHeight="1">
      <c r="A7" s="57"/>
      <c r="B7" s="57"/>
      <c r="C7" s="57"/>
      <c r="D7" s="57"/>
      <c r="E7" s="57"/>
      <c r="F7" s="57"/>
      <c r="G7" s="57"/>
      <c r="H7" s="57"/>
      <c r="I7" s="57"/>
      <c r="J7" s="57"/>
    </row>
    <row r="8" spans="1:23" s="41" customFormat="1" ht="30" customHeight="1">
      <c r="A8" s="156" t="s">
        <v>10</v>
      </c>
      <c r="B8" s="156"/>
      <c r="C8" s="156"/>
      <c r="D8" s="156"/>
      <c r="E8" s="156"/>
      <c r="F8" s="22"/>
      <c r="G8" s="22"/>
      <c r="H8" s="22"/>
      <c r="I8" s="22"/>
      <c r="J8" s="21"/>
      <c r="K8" s="21"/>
      <c r="L8" s="21"/>
      <c r="M8" s="21"/>
      <c r="N8" s="21"/>
      <c r="O8" s="22"/>
    </row>
    <row r="9" spans="1:23" s="41" customFormat="1" ht="30" customHeight="1">
      <c r="A9" s="20" t="s">
        <v>7</v>
      </c>
      <c r="B9" s="20"/>
      <c r="C9" s="20"/>
      <c r="D9" s="26"/>
      <c r="E9" s="26"/>
      <c r="F9" s="22"/>
      <c r="G9" s="22"/>
      <c r="H9" s="22"/>
      <c r="I9" s="22"/>
      <c r="J9" s="21"/>
      <c r="K9" s="21"/>
      <c r="L9" s="21"/>
      <c r="M9" s="21"/>
      <c r="N9" s="21"/>
      <c r="O9" s="22"/>
    </row>
    <row r="10" spans="1:23" s="41" customFormat="1" ht="30" customHeight="1">
      <c r="A10" s="20" t="s">
        <v>114</v>
      </c>
      <c r="B10" s="20"/>
      <c r="C10" s="20"/>
      <c r="D10" s="20"/>
      <c r="E10" s="20"/>
      <c r="F10" s="20"/>
      <c r="G10" s="20"/>
      <c r="H10" s="20"/>
      <c r="I10" s="20"/>
      <c r="J10" s="20"/>
      <c r="K10" s="21"/>
      <c r="L10" s="22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</row>
    <row r="11" spans="1:23" s="41" customFormat="1" ht="30" customHeight="1">
      <c r="A11" s="20" t="s">
        <v>27</v>
      </c>
      <c r="B11" s="20"/>
      <c r="C11" s="20"/>
      <c r="D11" s="20"/>
      <c r="E11" s="20"/>
      <c r="F11" s="20"/>
      <c r="G11" s="20"/>
      <c r="H11" s="20"/>
      <c r="I11" s="20"/>
      <c r="J11" s="20"/>
      <c r="K11" s="21"/>
      <c r="L11" s="22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</row>
    <row r="12" spans="1:23" s="61" customFormat="1" ht="30" customHeight="1">
      <c r="A12" s="58" t="s">
        <v>113</v>
      </c>
      <c r="B12" s="58"/>
      <c r="C12" s="58"/>
      <c r="D12" s="58"/>
      <c r="E12" s="58"/>
      <c r="F12" s="58"/>
      <c r="G12" s="58"/>
      <c r="H12" s="58"/>
      <c r="I12" s="58"/>
      <c r="J12" s="58"/>
    </row>
    <row r="13" spans="1:23" s="41" customFormat="1" ht="30" customHeight="1">
      <c r="A13" s="59" t="s">
        <v>115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</row>
    <row r="14" spans="1:23" s="41" customFormat="1" ht="30" customHeight="1">
      <c r="A14" s="59" t="s">
        <v>116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</row>
    <row r="15" spans="1:23" s="41" customFormat="1" ht="30" customHeight="1">
      <c r="A15" s="59" t="s">
        <v>117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</row>
    <row r="16" spans="1:23" s="41" customFormat="1" ht="30" customHeight="1">
      <c r="A16" s="41" t="s">
        <v>118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</row>
  </sheetData>
  <mergeCells count="11">
    <mergeCell ref="A1:D1"/>
    <mergeCell ref="I4:I5"/>
    <mergeCell ref="J4:J5"/>
    <mergeCell ref="A2:J2"/>
    <mergeCell ref="A8:E8"/>
    <mergeCell ref="A4:A5"/>
    <mergeCell ref="B4:B5"/>
    <mergeCell ref="C4:C5"/>
    <mergeCell ref="D4:D5"/>
    <mergeCell ref="E4:E5"/>
    <mergeCell ref="F4:H4"/>
  </mergeCells>
  <phoneticPr fontId="4" type="noConversion"/>
  <printOptions horizontalCentered="1"/>
  <pageMargins left="0.27559055118110237" right="0.27559055118110237" top="0.98425196850393704" bottom="0.39370078740157483" header="0.51181102362204722" footer="0.39370078740157483"/>
  <pageSetup paperSize="9" scale="6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4"/>
  <sheetViews>
    <sheetView zoomScale="80" zoomScaleNormal="80" zoomScaleSheetLayoutView="70" workbookViewId="0">
      <selection activeCell="I22" sqref="I22"/>
    </sheetView>
  </sheetViews>
  <sheetFormatPr defaultRowHeight="13.5"/>
  <cols>
    <col min="1" max="1" width="12.109375" style="2" customWidth="1"/>
    <col min="2" max="2" width="30.77734375" style="2" customWidth="1"/>
    <col min="3" max="3" width="17.77734375" style="2" customWidth="1"/>
    <col min="4" max="4" width="13.88671875" style="3" customWidth="1"/>
    <col min="5" max="5" width="21.44140625" style="3" customWidth="1"/>
    <col min="6" max="7" width="16.5546875" style="3" customWidth="1"/>
    <col min="8" max="8" width="9.5546875" style="3" bestFit="1" customWidth="1"/>
    <col min="9" max="9" width="16.5546875" style="71" customWidth="1"/>
    <col min="10" max="10" width="20.77734375" style="3" bestFit="1" customWidth="1"/>
    <col min="11" max="11" width="10.6640625" style="3" customWidth="1"/>
    <col min="12" max="16384" width="8.88671875" style="3"/>
  </cols>
  <sheetData>
    <row r="1" spans="1:24" ht="39.950000000000003" customHeight="1">
      <c r="A1" s="23" t="s">
        <v>126</v>
      </c>
    </row>
    <row r="2" spans="1:24" ht="50.1" customHeight="1">
      <c r="A2" s="164" t="s">
        <v>142</v>
      </c>
      <c r="B2" s="164"/>
      <c r="C2" s="164"/>
      <c r="D2" s="164"/>
      <c r="E2" s="164"/>
      <c r="F2" s="164"/>
      <c r="G2" s="164"/>
      <c r="H2" s="164"/>
      <c r="I2" s="164"/>
      <c r="J2" s="164"/>
      <c r="K2" s="62"/>
    </row>
    <row r="3" spans="1:24" s="69" customFormat="1" ht="25.5" customHeight="1">
      <c r="A3" s="67"/>
      <c r="B3" s="67"/>
      <c r="C3" s="67"/>
      <c r="D3" s="67"/>
      <c r="E3" s="67"/>
      <c r="F3" s="67"/>
      <c r="G3" s="67"/>
      <c r="H3" s="67"/>
      <c r="I3" s="72"/>
      <c r="J3" s="68" t="s">
        <v>122</v>
      </c>
      <c r="K3" s="68"/>
    </row>
    <row r="4" spans="1:24" s="69" customFormat="1" ht="50.1" customHeight="1">
      <c r="A4" s="30" t="s">
        <v>1</v>
      </c>
      <c r="B4" s="11" t="s">
        <v>4</v>
      </c>
      <c r="C4" s="11" t="s">
        <v>5</v>
      </c>
      <c r="D4" s="30" t="s">
        <v>6</v>
      </c>
      <c r="E4" s="30" t="s">
        <v>2</v>
      </c>
      <c r="F4" s="30" t="s">
        <v>31</v>
      </c>
      <c r="G4" s="30" t="s">
        <v>32</v>
      </c>
      <c r="H4" s="11" t="s">
        <v>33</v>
      </c>
      <c r="I4" s="73" t="s">
        <v>39</v>
      </c>
      <c r="J4" s="25" t="s">
        <v>11</v>
      </c>
    </row>
    <row r="5" spans="1:24" s="69" customFormat="1" ht="35.1" customHeight="1">
      <c r="A5" s="12">
        <v>1</v>
      </c>
      <c r="B5" s="13" t="s">
        <v>45</v>
      </c>
      <c r="C5" s="14" t="s">
        <v>29</v>
      </c>
      <c r="D5" s="14" t="s">
        <v>43</v>
      </c>
      <c r="E5" s="15" t="s">
        <v>30</v>
      </c>
      <c r="F5" s="14" t="s">
        <v>44</v>
      </c>
      <c r="G5" s="70">
        <v>45292</v>
      </c>
      <c r="H5" s="16">
        <v>3</v>
      </c>
      <c r="I5" s="13">
        <v>5000</v>
      </c>
      <c r="J5" s="13" t="s">
        <v>46</v>
      </c>
    </row>
    <row r="6" spans="1:24" s="69" customFormat="1" ht="35.1" customHeight="1">
      <c r="A6" s="12">
        <v>2</v>
      </c>
      <c r="B6" s="13" t="s">
        <v>91</v>
      </c>
      <c r="C6" s="14" t="s">
        <v>123</v>
      </c>
      <c r="D6" s="14" t="s">
        <v>111</v>
      </c>
      <c r="E6" s="15" t="s">
        <v>119</v>
      </c>
      <c r="F6" s="14" t="s">
        <v>120</v>
      </c>
      <c r="G6" s="70">
        <v>45992</v>
      </c>
      <c r="H6" s="16">
        <v>2</v>
      </c>
      <c r="I6" s="13">
        <v>4000</v>
      </c>
      <c r="J6" s="13" t="s">
        <v>121</v>
      </c>
    </row>
    <row r="7" spans="1:24" s="69" customFormat="1" ht="35.1" customHeight="1">
      <c r="A7" s="12"/>
      <c r="B7" s="13"/>
      <c r="C7" s="14"/>
      <c r="D7" s="14"/>
      <c r="E7" s="15"/>
      <c r="F7" s="14"/>
      <c r="G7" s="70"/>
      <c r="H7" s="16"/>
      <c r="I7" s="13"/>
      <c r="J7" s="13"/>
    </row>
    <row r="8" spans="1:24" s="10" customFormat="1" ht="24.75" customHeight="1">
      <c r="A8" s="63"/>
      <c r="B8" s="63"/>
      <c r="C8" s="63"/>
      <c r="I8" s="74"/>
    </row>
    <row r="9" spans="1:24" s="10" customFormat="1" ht="30" customHeight="1">
      <c r="A9" s="163" t="s">
        <v>3</v>
      </c>
      <c r="B9" s="163"/>
      <c r="C9" s="163"/>
      <c r="D9" s="163"/>
      <c r="E9" s="19"/>
      <c r="F9" s="19"/>
      <c r="G9" s="19"/>
      <c r="H9" s="19"/>
      <c r="I9" s="19"/>
      <c r="J9" s="19"/>
      <c r="K9" s="19"/>
      <c r="L9" s="18"/>
      <c r="M9" s="17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</row>
    <row r="10" spans="1:24" s="10" customFormat="1" ht="30" customHeight="1">
      <c r="A10" s="20" t="s">
        <v>7</v>
      </c>
      <c r="B10" s="64"/>
      <c r="C10" s="64"/>
      <c r="D10" s="64"/>
      <c r="E10" s="19"/>
      <c r="F10" s="19"/>
      <c r="G10" s="19"/>
      <c r="H10" s="19"/>
      <c r="I10" s="19"/>
      <c r="J10" s="19"/>
      <c r="K10" s="19"/>
      <c r="L10" s="18"/>
      <c r="M10" s="17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</row>
    <row r="11" spans="1:24" s="10" customFormat="1" ht="30" customHeight="1">
      <c r="A11" s="20" t="s">
        <v>65</v>
      </c>
      <c r="B11" s="20"/>
      <c r="C11" s="20"/>
      <c r="D11" s="20"/>
      <c r="E11" s="20"/>
      <c r="F11" s="20"/>
      <c r="G11" s="20"/>
      <c r="H11" s="20"/>
      <c r="I11" s="75"/>
      <c r="J11" s="20"/>
      <c r="K11" s="20"/>
      <c r="L11" s="18"/>
      <c r="M11" s="17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</row>
    <row r="12" spans="1:24" s="10" customFormat="1" ht="30" customHeight="1">
      <c r="A12" s="20" t="s">
        <v>124</v>
      </c>
      <c r="B12" s="20"/>
      <c r="C12" s="20"/>
      <c r="D12" s="20"/>
      <c r="E12" s="20"/>
      <c r="F12" s="20"/>
      <c r="G12" s="20"/>
      <c r="H12" s="20"/>
      <c r="I12" s="75"/>
      <c r="J12" s="20"/>
      <c r="K12" s="20"/>
      <c r="L12" s="18"/>
      <c r="M12" s="17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</row>
    <row r="13" spans="1:24" s="10" customFormat="1" ht="30" customHeight="1">
      <c r="A13" s="20" t="s">
        <v>125</v>
      </c>
      <c r="B13" s="20"/>
      <c r="C13" s="20"/>
      <c r="D13" s="20"/>
      <c r="E13" s="20"/>
      <c r="F13" s="20"/>
      <c r="G13" s="20"/>
      <c r="H13" s="20"/>
      <c r="I13" s="75"/>
      <c r="J13" s="20"/>
      <c r="K13" s="20"/>
      <c r="L13" s="18"/>
      <c r="M13" s="17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</row>
    <row r="14" spans="1:24" s="10" customFormat="1" ht="30" customHeight="1">
      <c r="A14" s="20" t="s">
        <v>34</v>
      </c>
      <c r="B14" s="65"/>
      <c r="C14" s="65"/>
      <c r="D14" s="65"/>
      <c r="E14" s="65"/>
      <c r="F14" s="65"/>
      <c r="G14" s="65"/>
      <c r="H14" s="65"/>
      <c r="I14" s="76"/>
      <c r="J14" s="65"/>
      <c r="K14" s="65"/>
      <c r="L14" s="66"/>
    </row>
  </sheetData>
  <mergeCells count="2">
    <mergeCell ref="A9:D9"/>
    <mergeCell ref="A2:J2"/>
  </mergeCells>
  <phoneticPr fontId="4" type="noConversion"/>
  <printOptions horizontalCentered="1"/>
  <pageMargins left="0.35433070866141736" right="0.35433070866141736" top="0.98425196850393704" bottom="0.39370078740157483" header="0.51181102362204722" footer="0.39370078740157483"/>
  <pageSetup paperSize="9" scale="5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3"/>
  <sheetViews>
    <sheetView zoomScale="80" zoomScaleNormal="80" zoomScaleSheetLayoutView="70" workbookViewId="0">
      <selection activeCell="E13" sqref="E13"/>
    </sheetView>
  </sheetViews>
  <sheetFormatPr defaultRowHeight="13.5"/>
  <cols>
    <col min="1" max="1" width="12.109375" style="2" customWidth="1"/>
    <col min="2" max="2" width="30.77734375" style="2" customWidth="1"/>
    <col min="3" max="3" width="17.77734375" style="2" customWidth="1"/>
    <col min="4" max="4" width="13.88671875" style="3" customWidth="1"/>
    <col min="5" max="5" width="21.44140625" style="3" customWidth="1"/>
    <col min="6" max="8" width="16.5546875" style="3" customWidth="1"/>
    <col min="9" max="9" width="10.6640625" style="3" customWidth="1"/>
    <col min="10" max="16384" width="8.88671875" style="3"/>
  </cols>
  <sheetData>
    <row r="1" spans="1:22" ht="39.950000000000003" customHeight="1">
      <c r="A1" s="23" t="s">
        <v>138</v>
      </c>
    </row>
    <row r="2" spans="1:22" ht="50.1" customHeight="1">
      <c r="A2" s="164" t="s">
        <v>143</v>
      </c>
      <c r="B2" s="164"/>
      <c r="C2" s="164"/>
      <c r="D2" s="164"/>
      <c r="E2" s="164"/>
      <c r="F2" s="164"/>
      <c r="G2" s="164"/>
      <c r="H2" s="164"/>
      <c r="I2" s="62"/>
    </row>
    <row r="3" spans="1:22" s="69" customFormat="1" ht="25.5" customHeight="1">
      <c r="A3" s="67"/>
      <c r="B3" s="67"/>
      <c r="C3" s="67"/>
      <c r="D3" s="67"/>
      <c r="E3" s="67"/>
      <c r="F3" s="67"/>
      <c r="G3" s="67"/>
      <c r="H3" s="68" t="s">
        <v>122</v>
      </c>
      <c r="I3" s="68"/>
    </row>
    <row r="4" spans="1:22" s="69" customFormat="1" ht="50.1" customHeight="1">
      <c r="A4" s="30" t="s">
        <v>1</v>
      </c>
      <c r="B4" s="11" t="s">
        <v>4</v>
      </c>
      <c r="C4" s="11" t="s">
        <v>5</v>
      </c>
      <c r="D4" s="30" t="s">
        <v>6</v>
      </c>
      <c r="E4" s="30" t="s">
        <v>2</v>
      </c>
      <c r="F4" s="30" t="s">
        <v>60</v>
      </c>
      <c r="G4" s="24" t="s">
        <v>39</v>
      </c>
      <c r="H4" s="25" t="s">
        <v>11</v>
      </c>
    </row>
    <row r="5" spans="1:22" s="69" customFormat="1" ht="35.1" customHeight="1">
      <c r="A5" s="12">
        <v>1</v>
      </c>
      <c r="B5" s="13" t="s">
        <v>45</v>
      </c>
      <c r="C5" s="14" t="s">
        <v>29</v>
      </c>
      <c r="D5" s="14" t="s">
        <v>43</v>
      </c>
      <c r="E5" s="15" t="s">
        <v>30</v>
      </c>
      <c r="F5" s="14" t="s">
        <v>61</v>
      </c>
      <c r="G5" s="14">
        <v>500</v>
      </c>
      <c r="H5" s="13"/>
    </row>
    <row r="6" spans="1:22" s="69" customFormat="1" ht="35.1" customHeight="1">
      <c r="A6" s="12">
        <v>2</v>
      </c>
      <c r="B6" s="13" t="s">
        <v>91</v>
      </c>
      <c r="C6" s="14" t="s">
        <v>123</v>
      </c>
      <c r="D6" s="14" t="s">
        <v>111</v>
      </c>
      <c r="E6" s="15" t="s">
        <v>119</v>
      </c>
      <c r="F6" s="14" t="s">
        <v>62</v>
      </c>
      <c r="G6" s="14">
        <v>100</v>
      </c>
      <c r="H6" s="13"/>
    </row>
    <row r="7" spans="1:22" s="69" customFormat="1" ht="35.1" customHeight="1">
      <c r="A7" s="12"/>
      <c r="B7" s="13"/>
      <c r="C7" s="14"/>
      <c r="D7" s="14"/>
      <c r="E7" s="15"/>
      <c r="F7" s="14"/>
      <c r="G7" s="14"/>
      <c r="H7" s="13"/>
    </row>
    <row r="8" spans="1:22" s="10" customFormat="1" ht="24.75" customHeight="1">
      <c r="A8" s="63"/>
      <c r="B8" s="63"/>
      <c r="C8" s="63"/>
    </row>
    <row r="9" spans="1:22" s="10" customFormat="1" ht="30" customHeight="1">
      <c r="A9" s="163" t="s">
        <v>3</v>
      </c>
      <c r="B9" s="163"/>
      <c r="C9" s="163"/>
      <c r="D9" s="163"/>
      <c r="E9" s="19"/>
      <c r="F9" s="19"/>
      <c r="G9" s="19"/>
      <c r="H9" s="19"/>
      <c r="I9" s="19"/>
      <c r="J9" s="18"/>
      <c r="K9" s="17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</row>
    <row r="10" spans="1:22" s="10" customFormat="1" ht="30" customHeight="1">
      <c r="A10" s="20" t="s">
        <v>7</v>
      </c>
      <c r="B10" s="64"/>
      <c r="C10" s="64"/>
      <c r="D10" s="64"/>
      <c r="E10" s="19"/>
      <c r="F10" s="19"/>
      <c r="G10" s="19"/>
      <c r="H10" s="19"/>
      <c r="I10" s="19"/>
      <c r="J10" s="18"/>
      <c r="K10" s="17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</row>
    <row r="11" spans="1:22" s="10" customFormat="1" ht="30" customHeight="1">
      <c r="A11" s="20" t="s">
        <v>63</v>
      </c>
      <c r="B11" s="20"/>
      <c r="C11" s="20"/>
      <c r="D11" s="20"/>
      <c r="E11" s="20"/>
      <c r="F11" s="20"/>
      <c r="G11" s="20"/>
      <c r="H11" s="20"/>
      <c r="I11" s="18"/>
      <c r="J11" s="17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</row>
    <row r="12" spans="1:22" s="10" customFormat="1" ht="30" customHeight="1">
      <c r="A12" s="20" t="s">
        <v>64</v>
      </c>
      <c r="B12" s="20"/>
      <c r="C12" s="20"/>
      <c r="D12" s="20"/>
      <c r="E12" s="20"/>
      <c r="F12" s="20"/>
      <c r="G12" s="20"/>
      <c r="H12" s="20"/>
      <c r="I12" s="18"/>
      <c r="J12" s="17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</row>
    <row r="13" spans="1:22" s="10" customFormat="1" ht="30" customHeight="1">
      <c r="A13" s="20" t="s">
        <v>34</v>
      </c>
      <c r="B13" s="65"/>
      <c r="C13" s="65"/>
      <c r="D13" s="65"/>
      <c r="E13" s="65"/>
      <c r="F13" s="65"/>
      <c r="G13" s="65"/>
      <c r="H13" s="65"/>
      <c r="I13" s="65"/>
      <c r="J13" s="66"/>
    </row>
  </sheetData>
  <mergeCells count="2">
    <mergeCell ref="A2:H2"/>
    <mergeCell ref="A9:D9"/>
  </mergeCells>
  <phoneticPr fontId="4" type="noConversion"/>
  <printOptions horizontalCentered="1"/>
  <pageMargins left="0.35433070866141736" right="0.35433070866141736" top="0.98425196850393704" bottom="0.39370078740157483" header="0.51181102362204722" footer="0.39370078740157483"/>
  <pageSetup paperSize="9" scale="5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7</vt:i4>
      </vt:variant>
    </vt:vector>
  </HeadingPairs>
  <TitlesOfParts>
    <vt:vector size="15" baseType="lpstr">
      <vt:lpstr>데이터</vt:lpstr>
      <vt:lpstr>서식1(맞춤형복지점수신청서)</vt:lpstr>
      <vt:lpstr>서식2(난임지원복지점수신청서)</vt:lpstr>
      <vt:lpstr>서식3(건강검진비 신청서)</vt:lpstr>
      <vt:lpstr>서식4(정산반납)</vt:lpstr>
      <vt:lpstr>서식5(복지점수통지)</vt:lpstr>
      <vt:lpstr>서식6(출산축하복지점수)</vt:lpstr>
      <vt:lpstr>서식7(난임지원, 태아산모검진)</vt:lpstr>
      <vt:lpstr>'서식1(맞춤형복지점수신청서)'!Print_Area</vt:lpstr>
      <vt:lpstr>'서식2(난임지원복지점수신청서)'!Print_Area</vt:lpstr>
      <vt:lpstr>'서식3(건강검진비 신청서)'!Print_Area</vt:lpstr>
      <vt:lpstr>'서식4(정산반납)'!Print_Area</vt:lpstr>
      <vt:lpstr>'서식5(복지점수통지)'!Print_Area</vt:lpstr>
      <vt:lpstr>'서식6(출산축하복지점수)'!Print_Area</vt:lpstr>
      <vt:lpstr>'서식7(난임지원, 태아산모검진)'!Print_Area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총무과</dc:creator>
  <cp:lastModifiedBy>user</cp:lastModifiedBy>
  <cp:lastPrinted>2024-01-22T06:20:17Z</cp:lastPrinted>
  <dcterms:created xsi:type="dcterms:W3CDTF">2005-04-04T02:13:12Z</dcterms:created>
  <dcterms:modified xsi:type="dcterms:W3CDTF">2026-02-02T05:54:29Z</dcterms:modified>
</cp:coreProperties>
</file>